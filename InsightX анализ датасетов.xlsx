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ly\Downloads\"/>
    </mc:Choice>
  </mc:AlternateContent>
  <xr:revisionPtr revIDLastSave="0" documentId="13_ncr:1_{598CA28B-E5EF-4FF8-9C24-9823517BDC92}" xr6:coauthVersionLast="47" xr6:coauthVersionMax="47" xr10:uidLastSave="{00000000-0000-0000-0000-000000000000}"/>
  <bookViews>
    <workbookView xWindow="-108" yWindow="-108" windowWidth="23256" windowHeight="13896" firstSheet="1" activeTab="5" xr2:uid="{83F25157-09E0-4ACA-99CB-A3F72AAA7135}"/>
  </bookViews>
  <sheets>
    <sheet name="full_family_expenses_final" sheetId="4" state="hidden" r:id="rId1"/>
    <sheet name="D002" sheetId="14" r:id="rId2"/>
    <sheet name="quality_of_life_global_report" sheetId="7" state="hidden" r:id="rId3"/>
    <sheet name="DOO2 по баллам" sheetId="17" r:id="rId4"/>
    <sheet name="D008" sheetId="9" r:id="rId5"/>
    <sheet name="Анализ D002" sheetId="15" r:id="rId6"/>
    <sheet name="Анализ D008" sheetId="18" r:id="rId7"/>
    <sheet name="housing_and_assets_official_rep" sheetId="6" state="hidden" r:id="rId8"/>
  </sheets>
  <definedNames>
    <definedName name="ExternalData_1" localSheetId="4" hidden="1">'D008'!$A$1:$F$241</definedName>
    <definedName name="ExternalData_1" localSheetId="7" hidden="1">housing_and_assets_official_rep!$A$1:$I$9</definedName>
    <definedName name="ExternalData_1" localSheetId="2" hidden="1">quality_of_life_global_report!$A$1:$H$102</definedName>
    <definedName name="ExternalData_2" localSheetId="1" hidden="1">'D002'!$A$1:$H$158</definedName>
    <definedName name="ExternalData_3" localSheetId="3" hidden="1">'DOO2 по баллам'!$A$1:$O$472</definedName>
    <definedName name="ExternalData_3" localSheetId="0" hidden="1">full_family_expenses_final!$A$1:$K$9</definedName>
  </definedNames>
  <calcPr calcId="191029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17" l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17B528-D626-4920-89F3-89ACB71BA85F}" keepAlive="1" name="Запрос — demography_structure_report" description="Соединение с запросом &quot;demography_structure_report&quot; в книге." type="5" refreshedVersion="8" background="1" saveData="1">
    <dbPr connection="Provider=Microsoft.Mashup.OleDb.1;Data Source=$Workbook$;Location=demography_structure_report;Extended Properties=&quot;&quot;" command="SELECT * FROM [demography_structure_report]"/>
  </connection>
  <connection id="2" xr16:uid="{D690BCDC-1FF5-4D75-9F06-E51A921D724E}" keepAlive="1" name="Запрос — full_family_expenses_final" description="Соединение с запросом &quot;full_family_expenses_final&quot; в книге." type="5" refreshedVersion="8" background="1" saveData="1">
    <dbPr connection="Provider=Microsoft.Mashup.OleDb.1;Data Source=$Workbook$;Location=full_family_expenses_final;Extended Properties=&quot;&quot;" command="SELECT * FROM [full_family_expenses_final]"/>
  </connection>
  <connection id="3" xr16:uid="{0E0CF64E-7BB8-45DD-810F-250C1A41966C}" keepAlive="1" name="Запрос — housing_and_assets_official_report" description="Соединение с запросом &quot;housing_and_assets_official_report&quot; в книге." type="5" refreshedVersion="8" background="1" saveData="1">
    <dbPr connection="Provider=Microsoft.Mashup.OleDb.1;Data Source=$Workbook$;Location=housing_and_assets_official_report;Extended Properties=&quot;&quot;" command="SELECT * FROM [housing_and_assets_official_report]"/>
  </connection>
  <connection id="4" xr16:uid="{38FF100D-F344-4960-86C4-CC7B52A45DBD}" keepAlive="1" name="Запрос — rezultat" description="Соединение с запросом &quot;rezultat&quot; в книге." type="5" refreshedVersion="8" background="1" saveData="1">
    <dbPr connection="Provider=Microsoft.Mashup.OleDb.1;Data Source=$Workbook$;Location=rezultat;Extended Properties=&quot;&quot;" command="SELECT * FROM [rezultat]"/>
  </connection>
  <connection id="5" xr16:uid="{C98717D7-2F80-45C9-9D6B-DC3E32981A3A}" keepAlive="1" name="Запрос — rezultat_po_ballam" description="Соединение с запросом &quot;rezultat_po_ballam&quot; в книге." type="5" refreshedVersion="8" background="1" saveData="1">
    <dbPr connection="Provider=Microsoft.Mashup.OleDb.1;Data Source=$Workbook$;Location=rezultat_po_ballam;Extended Properties=&quot;&quot;" command="SELECT * FROM [rezultat_po_ballam]"/>
  </connection>
</connections>
</file>

<file path=xl/sharedStrings.xml><?xml version="1.0" encoding="utf-8"?>
<sst xmlns="http://schemas.openxmlformats.org/spreadsheetml/2006/main" count="2417" uniqueCount="241">
  <si>
    <t>Avg_Rooms</t>
  </si>
  <si>
    <t>2024</t>
  </si>
  <si>
    <t>5329</t>
  </si>
  <si>
    <t>2021</t>
  </si>
  <si>
    <t>6405</t>
  </si>
  <si>
    <t>6375</t>
  </si>
  <si>
    <t>5231</t>
  </si>
  <si>
    <t>2023</t>
  </si>
  <si>
    <t>6332</t>
  </si>
  <si>
    <t>2022</t>
  </si>
  <si>
    <t>6235</t>
  </si>
  <si>
    <t>5327</t>
  </si>
  <si>
    <t>5509</t>
  </si>
  <si>
    <t>Year</t>
  </si>
  <si>
    <t>Region</t>
  </si>
  <si>
    <t>Families_Count</t>
  </si>
  <si>
    <t>Goods</t>
  </si>
  <si>
    <t>Communal</t>
  </si>
  <si>
    <t>Svyaz</t>
  </si>
  <si>
    <t>Education</t>
  </si>
  <si>
    <t>Health</t>
  </si>
  <si>
    <t>Culture_Rest</t>
  </si>
  <si>
    <t>Transport</t>
  </si>
  <si>
    <t>TOTAL_EXPENSES</t>
  </si>
  <si>
    <t>Rural</t>
  </si>
  <si>
    <t>Urban</t>
  </si>
  <si>
    <t>Avg_Area_SqM</t>
  </si>
  <si>
    <t>Central_Heating_Pct</t>
  </si>
  <si>
    <t>Indoor_Water_Pct</t>
  </si>
  <si>
    <t>Fixed_Internet_Pct</t>
  </si>
  <si>
    <t>Cars_per_100_Families</t>
  </si>
  <si>
    <t>Indicator</t>
  </si>
  <si>
    <t>Sample_Size</t>
  </si>
  <si>
    <t>Low_Pct</t>
  </si>
  <si>
    <t>Medium_Pct</t>
  </si>
  <si>
    <t>High_Pct</t>
  </si>
  <si>
    <t>Urban_High_Pct</t>
  </si>
  <si>
    <t>Rural_High_Pct</t>
  </si>
  <si>
    <t>1. Life in general</t>
  </si>
  <si>
    <t>2. Living conditions</t>
  </si>
  <si>
    <t>3. Health status</t>
  </si>
  <si>
    <t>4. Financial situation</t>
  </si>
  <si>
    <t>5. Professional skills</t>
  </si>
  <si>
    <t>6. Family economic status</t>
  </si>
  <si>
    <t>7. Feeling happy</t>
  </si>
  <si>
    <t>8.1 Safety: assault</t>
  </si>
  <si>
    <t>8.2 Safety: theft</t>
  </si>
  <si>
    <t>8.3 Safety: violence</t>
  </si>
  <si>
    <t>8.4 Safety: fraud</t>
  </si>
  <si>
    <t>8.5 Safety: corruption</t>
  </si>
  <si>
    <t>8.6 Safety: discrimination</t>
  </si>
  <si>
    <t>9. Housing quality</t>
  </si>
  <si>
    <t>10.1 Neighborhood cleanliness</t>
  </si>
  <si>
    <t>10.2 Air quality</t>
  </si>
  <si>
    <t>10.3 Water quality</t>
  </si>
  <si>
    <t>11. Noise level</t>
  </si>
  <si>
    <t>12. Ability to buy housing</t>
  </si>
  <si>
    <t>13. State housing support</t>
  </si>
  <si>
    <t>14. Free time</t>
  </si>
  <si>
    <t>15.1 Public health: cost</t>
  </si>
  <si>
    <t>15.2 Public health: quality</t>
  </si>
  <si>
    <t>15.3 Public health: availability</t>
  </si>
  <si>
    <t>16.1 Private health: cost</t>
  </si>
  <si>
    <t>16.2 Private health: quality</t>
  </si>
  <si>
    <t>16.3 Private health: availability</t>
  </si>
  <si>
    <t>17.1 Education quality: preschool</t>
  </si>
  <si>
    <t>17.2 Education quality: school</t>
  </si>
  <si>
    <t>17.3 Education quality: vocational</t>
  </si>
  <si>
    <t>17.4 Education quality: university</t>
  </si>
  <si>
    <t>18.1 Education availability: preschool</t>
  </si>
  <si>
    <t>18.2 Education availability: school</t>
  </si>
  <si>
    <t>18.3 Education availability: vocational</t>
  </si>
  <si>
    <t>18.4 Education availability: university</t>
  </si>
  <si>
    <t>19.1 Public services: PSC</t>
  </si>
  <si>
    <t>19.2 Public services: Tax</t>
  </si>
  <si>
    <t>19.3 Public services: Police</t>
  </si>
  <si>
    <t>19.4 Public services: Ambulance</t>
  </si>
  <si>
    <t>19.5 Public services: Fire dept</t>
  </si>
  <si>
    <t>19.6 Public services: Other</t>
  </si>
  <si>
    <t>20.1 Organic food: cost</t>
  </si>
  <si>
    <t>20.2 Organic food: availability</t>
  </si>
  <si>
    <t>21. Ready to buy organic</t>
  </si>
  <si>
    <t>22. Moral support assurance</t>
  </si>
  <si>
    <t>Category</t>
  </si>
  <si>
    <t>Answer</t>
  </si>
  <si>
    <t>Count</t>
  </si>
  <si>
    <t>Percentage</t>
  </si>
  <si>
    <t>Head of household</t>
  </si>
  <si>
    <t>Spouse</t>
  </si>
  <si>
    <t>Child</t>
  </si>
  <si>
    <t>Parent</t>
  </si>
  <si>
    <t>Sibling</t>
  </si>
  <si>
    <t>Grandparent</t>
  </si>
  <si>
    <t>Grandchild</t>
  </si>
  <si>
    <t>Other relative</t>
  </si>
  <si>
    <t>Non-relative</t>
  </si>
  <si>
    <t>Male</t>
  </si>
  <si>
    <t>Female</t>
  </si>
  <si>
    <t>Never married</t>
  </si>
  <si>
    <t>Married</t>
  </si>
  <si>
    <t>Widowed</t>
  </si>
  <si>
    <t>Divorced</t>
  </si>
  <si>
    <t>Preschool</t>
  </si>
  <si>
    <t>Primary</t>
  </si>
  <si>
    <t>Basic secondary</t>
  </si>
  <si>
    <t>General secondary / TVET</t>
  </si>
  <si>
    <t>Higher university</t>
  </si>
  <si>
    <t>Postgraduate</t>
  </si>
  <si>
    <t>No education</t>
  </si>
  <si>
    <t>Employee</t>
  </si>
  <si>
    <t>Self-employed</t>
  </si>
  <si>
    <t>Unemployed</t>
  </si>
  <si>
    <t>Pensioner</t>
  </si>
  <si>
    <t>Student</t>
  </si>
  <si>
    <t>Homemaker / Childcare</t>
  </si>
  <si>
    <t>Disabled</t>
  </si>
  <si>
    <t>Not working (other reasons)</t>
  </si>
  <si>
    <t>Названия строк</t>
  </si>
  <si>
    <t>1. Жизнью в целом</t>
  </si>
  <si>
    <t>10.1 Чистота территории у дома</t>
  </si>
  <si>
    <t>10.2 Чистота воздуха</t>
  </si>
  <si>
    <t>10.3 Качество питьевой воды</t>
  </si>
  <si>
    <t>11. Уровень внешнего шума</t>
  </si>
  <si>
    <t>12. Возможность самому приобрести жильё</t>
  </si>
  <si>
    <t>19.3 Полиция</t>
  </si>
  <si>
    <t>19.4 Скорая помощь</t>
  </si>
  <si>
    <t>2. Условиями жизни</t>
  </si>
  <si>
    <t>3. Состоянием здоровья</t>
  </si>
  <si>
    <t>4. Финансовым положением</t>
  </si>
  <si>
    <t>6. Экономическим положением семьи</t>
  </si>
  <si>
    <t>9. Качеством жилья</t>
  </si>
  <si>
    <t>14. Наличие свободного времени</t>
  </si>
  <si>
    <t>Год</t>
  </si>
  <si>
    <t>Вопрос</t>
  </si>
  <si>
    <t>Опрошено (чел)</t>
  </si>
  <si>
    <t>Всего: % плохо</t>
  </si>
  <si>
    <t>Всего: % средне</t>
  </si>
  <si>
    <t>Всего: % хорошо</t>
  </si>
  <si>
    <t>Город: % хорошо</t>
  </si>
  <si>
    <t>Село: % хорошо</t>
  </si>
  <si>
    <t>5. Профессиональными навыками</t>
  </si>
  <si>
    <t>7. Чувствую себя счастливым</t>
  </si>
  <si>
    <t>8.1 Безопасность от нападения</t>
  </si>
  <si>
    <t>8.2 Безопасность от кражи</t>
  </si>
  <si>
    <t>8.3 Безопасность от физ. насилия</t>
  </si>
  <si>
    <t>8.4 Безопасность от мошенничества</t>
  </si>
  <si>
    <t>8.5 Безопасность от коррупции</t>
  </si>
  <si>
    <t>8.6 Безопасность от дискриминации</t>
  </si>
  <si>
    <t>13. Поддержка государства в предоставлении жилья</t>
  </si>
  <si>
    <t>15.1 Гос. здравоохранение: стоимость</t>
  </si>
  <si>
    <t>15.2 Гос. здравоохранение: качество</t>
  </si>
  <si>
    <t>15.3 Гос. здравоохранение: доступность</t>
  </si>
  <si>
    <t>16.1 Частное здравоохранение: стоимость</t>
  </si>
  <si>
    <t>16.2 Частное здравоохранение: качество</t>
  </si>
  <si>
    <t>16.3 Частное здравоохранение: доступность</t>
  </si>
  <si>
    <t>17.1 Качество образования: дошкольное</t>
  </si>
  <si>
    <t>17.2 Качество образования: школьное</t>
  </si>
  <si>
    <t>17.3 Качество образования: среднее проф.</t>
  </si>
  <si>
    <t>17.4 Качество образования: высшее</t>
  </si>
  <si>
    <t>18.1 Доступность образования: дошкольное</t>
  </si>
  <si>
    <t>18.2 Доступность образования: школьное</t>
  </si>
  <si>
    <t>18.3 Доступность образования: среднее проф.</t>
  </si>
  <si>
    <t>18.4 Доступность образования: высшее</t>
  </si>
  <si>
    <t>19.1 Госкорпорация «Правительство для граждан»</t>
  </si>
  <si>
    <t>19.2 Налоговые органы</t>
  </si>
  <si>
    <t>19.5 Пожарная служба</t>
  </si>
  <si>
    <t>19.6 Другие гос. услуги</t>
  </si>
  <si>
    <t>20.1 Органические продукты: стоимость</t>
  </si>
  <si>
    <t>20.2 Органические продукты: доступность</t>
  </si>
  <si>
    <t>21. Готовность покупать органические продукты</t>
  </si>
  <si>
    <t>22. Уверенность в моральной поддержке</t>
  </si>
  <si>
    <t>5. Профессиональной деятельностью</t>
  </si>
  <si>
    <t>6.1 Общение с родственниками</t>
  </si>
  <si>
    <t>6.2 Общение с друзьями</t>
  </si>
  <si>
    <t>6.3 Общение с коллегами</t>
  </si>
  <si>
    <t>7. Экономическим положением семьи</t>
  </si>
  <si>
    <t>8. Чувствую себя счастливым</t>
  </si>
  <si>
    <t>13. Поддержка государства в приобретении жилья</t>
  </si>
  <si>
    <t>15.1 Качество здравоохранения: государственное</t>
  </si>
  <si>
    <t>15.2 Качество здравоохранения: частное</t>
  </si>
  <si>
    <t>16.1 Доступность здравоохранения: государственное</t>
  </si>
  <si>
    <t>16.2 Доступность здравоохранения: частное</t>
  </si>
  <si>
    <t>8. Качеством жилья</t>
  </si>
  <si>
    <t>9.1 Чистота территории у дома</t>
  </si>
  <si>
    <t>9.2 Чистота воздуха</t>
  </si>
  <si>
    <t>9.3 Качество питьевой воды</t>
  </si>
  <si>
    <t>10. Уровень внешнего шума</t>
  </si>
  <si>
    <t>11. Возможность самому приобрести жильё</t>
  </si>
  <si>
    <t>12. Поддержка государства в приобретении жилья</t>
  </si>
  <si>
    <t>13. Наличие свободного времени</t>
  </si>
  <si>
    <t>14.1 Качество здравоохранения: государственное</t>
  </si>
  <si>
    <t>14.2 Качество здравоохранения: частное</t>
  </si>
  <si>
    <t>15.1 Доступность здравоохранения: государственное</t>
  </si>
  <si>
    <t>15.2 Доступность здравоохранения: частное</t>
  </si>
  <si>
    <t>16.1 Качество образования: дошкольное</t>
  </si>
  <si>
    <t>16.2 Качество образования: школьное</t>
  </si>
  <si>
    <t>16.3 Качество образования: среднее проф.</t>
  </si>
  <si>
    <t>16.4 Качество образования: высшее</t>
  </si>
  <si>
    <t>17.1 Доступность образования: дошкольное</t>
  </si>
  <si>
    <t>17.2 Доступность образования: школьное</t>
  </si>
  <si>
    <t>17.3 Доступность образования: среднее проф.</t>
  </si>
  <si>
    <t>17.4 Доступность образования: высшее</t>
  </si>
  <si>
    <t>18.1 Госкорпорация «Правительство для граждан»</t>
  </si>
  <si>
    <t>18.2 Налоговые органы</t>
  </si>
  <si>
    <t>18.3 Полиция</t>
  </si>
  <si>
    <t>18.4 Скорая помощь</t>
  </si>
  <si>
    <t>18.5 Пожарная служба</t>
  </si>
  <si>
    <t>18.6 Другие гос. услуги</t>
  </si>
  <si>
    <t>19. Уверенность в моральной поддержке</t>
  </si>
  <si>
    <t>% средне</t>
  </si>
  <si>
    <t>% хорошо</t>
  </si>
  <si>
    <t>Местность</t>
  </si>
  <si>
    <t>Опрошено (баллы 1-10)</t>
  </si>
  <si>
    <t>% балл 1</t>
  </si>
  <si>
    <t>% балл 2</t>
  </si>
  <si>
    <t>% балл 3</t>
  </si>
  <si>
    <t>% балл 4</t>
  </si>
  <si>
    <t>% балл 5</t>
  </si>
  <si>
    <t>% балл 6</t>
  </si>
  <si>
    <t>% балл 7</t>
  </si>
  <si>
    <t>% балл 8</t>
  </si>
  <si>
    <t>% балл 9</t>
  </si>
  <si>
    <t>% балл 10</t>
  </si>
  <si>
    <t>Доля ответов 89 от всех, %</t>
  </si>
  <si>
    <t>Всего</t>
  </si>
  <si>
    <t>Город</t>
  </si>
  <si>
    <t>Село</t>
  </si>
  <si>
    <t>Средневзвешенный балл</t>
  </si>
  <si>
    <t>Названия столбцов</t>
  </si>
  <si>
    <t xml:space="preserve"> % плохо</t>
  </si>
  <si>
    <t>Household Role</t>
  </si>
  <si>
    <t>Gender</t>
  </si>
  <si>
    <t>Marital Status</t>
  </si>
  <si>
    <t>Education Level</t>
  </si>
  <si>
    <t>Employment Status</t>
  </si>
  <si>
    <t>Среднее по полю Percentage</t>
  </si>
  <si>
    <t>Средняя оценка показателей за 4 года по РК</t>
  </si>
  <si>
    <t>Средневзвешенный балл изменение</t>
  </si>
  <si>
    <t xml:space="preserve">Средневзвешенный балл </t>
  </si>
  <si>
    <t>5 лучших показателей</t>
  </si>
  <si>
    <t>5 худших показателей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</si>
</sst>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91440</xdr:rowOff>
    </xdr:from>
    <xdr:to>
      <xdr:col>11</xdr:col>
      <xdr:colOff>411480</xdr:colOff>
      <xdr:row>24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FDB696-72AB-5BEE-707A-744631FE4DF5}"/>
            </a:ext>
          </a:extLst>
        </xdr:cNvPr>
        <xdr:cNvSpPr txBox="1"/>
      </xdr:nvSpPr>
      <xdr:spPr>
        <a:xfrm>
          <a:off x="15240" y="91440"/>
          <a:ext cx="12344400" cy="441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KZ" b="1"/>
            <a:t>1. Парадокс «Качество vs Доступность» в медицине и образовании</a:t>
          </a:r>
        </a:p>
        <a:p>
          <a:pPr lvl="0"/>
          <a:r>
            <a:rPr lang="ru-KZ" b="1"/>
            <a:t>Инсайт</a:t>
          </a:r>
          <a:r>
            <a:rPr lang="ru-KZ"/>
            <a:t>: Оценки доступности социальных услуг стабильно выше, чем оценки их качества.</a:t>
          </a:r>
        </a:p>
        <a:p>
          <a:pPr lvl="0"/>
          <a:r>
            <a:rPr lang="ru-KZ" b="1"/>
            <a:t>Детали</a:t>
          </a:r>
          <a:r>
            <a:rPr lang="ru-KZ"/>
            <a:t>: Граждане чаще удовлетворены тем, что школа или поликлиника </a:t>
          </a:r>
          <a:r>
            <a:rPr lang="ru-KZ" i="1"/>
            <a:t>есть поблизости</a:t>
          </a:r>
          <a:r>
            <a:rPr lang="ru-KZ"/>
            <a:t> (доступность), но дают значительно более низкие оценки </a:t>
          </a:r>
          <a:r>
            <a:rPr lang="ru-KZ" i="1"/>
            <a:t>квалификации врачей, оснащению и ценам</a:t>
          </a:r>
          <a:r>
            <a:rPr lang="ru-KZ"/>
            <a:t> (качество и стоимость).</a:t>
          </a:r>
        </a:p>
        <a:p>
          <a:pPr lvl="0"/>
          <a:r>
            <a:rPr lang="ru-KZ" b="1"/>
            <a:t>Вывод</a:t>
          </a:r>
          <a:r>
            <a:rPr lang="ru-KZ"/>
            <a:t>: Инфраструктурный охват государством решен лучше, чем качественное наполнение сервисов.</a:t>
          </a:r>
        </a:p>
        <a:p>
          <a:r>
            <a:rPr lang="ru-KZ" b="1"/>
            <a:t>2. «Ножницы» финансового самочувствия и господдержки жилья</a:t>
          </a:r>
        </a:p>
        <a:p>
          <a:pPr lvl="0"/>
          <a:r>
            <a:rPr lang="ru-KZ" b="1"/>
            <a:t>Инсайт</a:t>
          </a:r>
          <a:r>
            <a:rPr lang="ru-KZ"/>
            <a:t>: В блоке экономических показателей наблюдается затяжная просадка (преобладание желто-оранжевых и красных зон).</a:t>
          </a:r>
        </a:p>
        <a:p>
          <a:pPr lvl="0"/>
          <a:r>
            <a:rPr lang="ru-KZ" b="1"/>
            <a:t>Детали</a:t>
          </a:r>
          <a:r>
            <a:rPr lang="ru-KZ"/>
            <a:t>: Самые низкие показатели в матрице стабильно удерживают </a:t>
          </a:r>
          <a:r>
            <a:rPr lang="ru-KZ" i="1"/>
            <a:t>«Возможность самому приобрести жилье»</a:t>
          </a:r>
          <a:r>
            <a:rPr lang="ru-KZ"/>
            <a:t>, </a:t>
          </a:r>
          <a:r>
            <a:rPr lang="ru-KZ" i="1"/>
            <a:t>«Поддержка государства в приобретении жилья»</a:t>
          </a:r>
          <a:r>
            <a:rPr lang="ru-KZ"/>
            <a:t> и </a:t>
          </a:r>
          <a:r>
            <a:rPr lang="ru-KZ" i="1"/>
            <a:t>«Финансовое положение»</a:t>
          </a:r>
          <a:r>
            <a:rPr lang="ru-KZ"/>
            <a:t>.</a:t>
          </a:r>
        </a:p>
        <a:p>
          <a:pPr lvl="0"/>
          <a:r>
            <a:rPr lang="ru-KZ" b="1"/>
            <a:t>Вывод</a:t>
          </a:r>
          <a:r>
            <a:rPr lang="ru-KZ"/>
            <a:t>: Жилищный вопрос и барьер накоплений остаются главной «болевой точкой» и основным источником социального неблагополучия населения.</a:t>
          </a:r>
        </a:p>
        <a:p>
          <a:r>
            <a:rPr lang="ru-KZ" b="1"/>
            <a:t>3. Цифровизация и административные службы — главный драйвер позитива</a:t>
          </a:r>
        </a:p>
        <a:p>
          <a:pPr lvl="0"/>
          <a:r>
            <a:rPr lang="ru-KZ" b="1"/>
            <a:t>Инсайт</a:t>
          </a:r>
          <a:r>
            <a:rPr lang="ru-KZ"/>
            <a:t>: Службы взаимодействия с государством (ЦОН/«Правительство для граждан», Налоговые органы, Пожарная служба, Скорая помощь) демонстрируют устойчивый зеленый тренд.</a:t>
          </a:r>
        </a:p>
        <a:p>
          <a:pPr lvl="0"/>
          <a:r>
            <a:rPr lang="ru-KZ" b="1"/>
            <a:t>Детали</a:t>
          </a:r>
          <a:r>
            <a:rPr lang="ru-KZ"/>
            <a:t>: За 2021–2024 гг. доля положительных оценок («хорошо») в этих секциях показывает постоянный прирост как в городе, так и в сельской местности.</a:t>
          </a:r>
        </a:p>
        <a:p>
          <a:pPr lvl="0"/>
          <a:r>
            <a:rPr lang="ru-KZ" b="1"/>
            <a:t>Вывод</a:t>
          </a:r>
          <a:r>
            <a:rPr lang="ru-KZ"/>
            <a:t>: Реформы в сфере оказания госуслуг и экстренных служб дали наиболее ощутимый и быстрый результат в глазах населения.</a:t>
          </a:r>
        </a:p>
        <a:p>
          <a:r>
            <a:rPr lang="ru-KZ" b="1"/>
            <a:t>4. Социальный капитал как «амортизатор» стресса</a:t>
          </a:r>
        </a:p>
        <a:p>
          <a:pPr lvl="0"/>
          <a:r>
            <a:rPr lang="ru-KZ" b="1"/>
            <a:t>Инсайт</a:t>
          </a:r>
          <a:r>
            <a:rPr lang="ru-KZ"/>
            <a:t>: Показатели институционального доверия ниже, чем показатели межличностных связей.</a:t>
          </a:r>
        </a:p>
        <a:p>
          <a:pPr lvl="0"/>
          <a:r>
            <a:rPr lang="ru-KZ" b="1"/>
            <a:t>Детали</a:t>
          </a:r>
          <a:r>
            <a:rPr lang="ru-KZ"/>
            <a:t>: Блок </a:t>
          </a:r>
          <a:r>
            <a:rPr lang="ru-KZ" i="1"/>
            <a:t>«Общение с родными / друзьями / коллегами»</a:t>
          </a:r>
          <a:r>
            <a:rPr lang="ru-KZ"/>
            <a:t> и </a:t>
          </a:r>
          <a:r>
            <a:rPr lang="ru-KZ" i="1"/>
            <a:t>«Уверенность в моральной поддержке»</a:t>
          </a:r>
          <a:r>
            <a:rPr lang="ru-KZ"/>
            <a:t> стабильно окрашен в ярко-зеленый цвет (высокий % ответов «хорошо»).</a:t>
          </a:r>
        </a:p>
        <a:p>
          <a:pPr lvl="0"/>
          <a:r>
            <a:rPr lang="ru-KZ" b="1"/>
            <a:t>Вывод</a:t>
          </a:r>
          <a:r>
            <a:rPr lang="ru-KZ"/>
            <a:t>: Высокий уровень удовлетворенности личным окружением компенсирует недовольство экономическими или бытовыми факторами (финансы, жилье).</a:t>
          </a:r>
        </a:p>
        <a:p>
          <a:r>
            <a:rPr lang="ru-KZ" b="1"/>
            <a:t>5. Специфика урбанизации (Разрывы Город / Село)</a:t>
          </a:r>
        </a:p>
        <a:p>
          <a:pPr lvl="0"/>
          <a:r>
            <a:rPr lang="ru-KZ" b="1"/>
            <a:t>Инсайт</a:t>
          </a:r>
          <a:r>
            <a:rPr lang="ru-KZ"/>
            <a:t>: Село лидирует по экологии и безопасности, но проигрывает в рыночных сервисах.</a:t>
          </a:r>
        </a:p>
        <a:p>
          <a:pPr lvl="0"/>
          <a:r>
            <a:rPr lang="ru-KZ" b="1"/>
            <a:t>Детали</a:t>
          </a:r>
          <a:r>
            <a:rPr lang="ru-KZ"/>
            <a:t>:</a:t>
          </a:r>
        </a:p>
        <a:p>
          <a:pPr lvl="1"/>
          <a:r>
            <a:rPr lang="ru-KZ" b="1"/>
            <a:t>Преимущества села</a:t>
          </a:r>
          <a:r>
            <a:rPr lang="ru-KZ"/>
            <a:t>: </a:t>
          </a:r>
          <a:r>
            <a:rPr lang="ru-KZ" i="1"/>
            <a:t>Чистота воздуха</a:t>
          </a:r>
          <a:r>
            <a:rPr lang="ru-KZ"/>
            <a:t>, </a:t>
          </a:r>
          <a:r>
            <a:rPr lang="ru-KZ" i="1"/>
            <a:t>Уровень внешнего шума</a:t>
          </a:r>
          <a:r>
            <a:rPr lang="ru-KZ"/>
            <a:t>, </a:t>
          </a:r>
          <a:r>
            <a:rPr lang="ru-KZ" i="1"/>
            <a:t>Безопасность</a:t>
          </a:r>
          <a:r>
            <a:rPr lang="ru-KZ"/>
            <a:t>.</a:t>
          </a:r>
        </a:p>
        <a:p>
          <a:pPr lvl="1"/>
          <a:r>
            <a:rPr lang="ru-KZ" b="1"/>
            <a:t>Преимущества города</a:t>
          </a:r>
          <a:r>
            <a:rPr lang="ru-KZ"/>
            <a:t>: Доступность </a:t>
          </a:r>
          <a:r>
            <a:rPr lang="ru-KZ" i="1"/>
            <a:t>частной медицины</a:t>
          </a:r>
          <a:r>
            <a:rPr lang="ru-KZ"/>
            <a:t>, </a:t>
          </a:r>
          <a:r>
            <a:rPr lang="ru-KZ" i="1"/>
            <a:t>коммерческих услуг</a:t>
          </a:r>
          <a:r>
            <a:rPr lang="ru-KZ"/>
            <a:t> и </a:t>
          </a:r>
          <a:r>
            <a:rPr lang="ru-KZ" i="1"/>
            <a:t>разнообразие досуга</a:t>
          </a:r>
          <a:r>
            <a:rPr lang="ru-KZ"/>
            <a:t>.</a:t>
          </a:r>
        </a:p>
        <a:p>
          <a:pPr lvl="0"/>
          <a:r>
            <a:rPr lang="ru-KZ" b="1"/>
            <a:t>Вывод</a:t>
          </a:r>
          <a:r>
            <a:rPr lang="ru-KZ"/>
            <a:t>: Диспропорция между городом и селом носит структурный характер: в городе выше качество инфраструктуры, но хуже экологическая и эмоциональная комфортность среды.</a:t>
          </a:r>
        </a:p>
        <a:p>
          <a:endParaRPr lang="ru-KZ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216243</xdr:colOff>
      <xdr:row>1</xdr:row>
      <xdr:rowOff>185351</xdr:rowOff>
    </xdr:from>
    <xdr:to>
      <xdr:col>12</xdr:col>
      <xdr:colOff>988540</xdr:colOff>
      <xdr:row>38</xdr:row>
      <xdr:rowOff>154461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3E611E-32BB-A77D-FF11-239701FE37F6}"/>
            </a:ext>
          </a:extLst>
        </xdr:cNvPr>
        <xdr:cNvSpPr txBox="1"/>
      </xdr:nvSpPr>
      <xdr:spPr>
        <a:xfrm>
          <a:off x="8114270" y="370702"/>
          <a:ext cx="5941540" cy="68271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Высшее образование: Ключевой системный разрыв</a:t>
          </a:r>
        </a:p>
        <a:p>
          <a:pPr lvl="0"/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Аналитический вывод: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В городской местности доля населения с высшим образованием устойчиво держится на уровне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26,8–27,2%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в то время как в сельской местности этот показатель составляет всего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13,2–13,6%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Уровень высшего образования в городе стабильно в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раза выше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чем на селе. </a:t>
          </a:r>
        </a:p>
        <a:p>
          <a:pPr lvl="0"/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Главный инсайт: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Разрыв не сокращается с годами (динамика 2021–2024 гг. показывает горизонтальное плато). Это говорит о стабильном оттоке образованной молодежи из села в города (урбанизация) и отсутствии стимулов для возвращения специалистов с высшим образованием в сельские регионы. </a:t>
          </a:r>
        </a:p>
        <a:p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Структура образования: Базовый потенциал села</a:t>
          </a:r>
        </a:p>
        <a:p>
          <a:pPr lvl="0"/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Аналитический вывод: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Почти половина сельского населения —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48,0–50,7%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— имеет среднее общее или техническое/профессиональное образование (колледжи/ТиПО), тогда как в городе эта доля составляет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38,0–41,1%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Главный инсайт: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Основной трудовой потенциал села сосредоточен в рабоче-технических и сельскохозяйственных специальностях. Это делает сельские регионы критически зависимыми от рынка синих воротничков и среднего специального образования. </a:t>
          </a:r>
        </a:p>
        <a:p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Занятость: Схожесть структуры при растущей динамике</a:t>
          </a:r>
        </a:p>
        <a:p>
          <a:pPr lvl="0"/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Аналитический вывод: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Вопреки стереотипам, структура занятости в городе и селе за 2024 год практически идентична:</a:t>
          </a:r>
        </a:p>
        <a:p>
          <a:pPr lvl="1"/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Наемные работники (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):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53,0%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в городе против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51,0%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на селе. </a:t>
          </a:r>
        </a:p>
        <a:p>
          <a:pPr lvl="1"/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Самозанятые (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Self-employed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):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6,0%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в городе против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6,6%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на селе. </a:t>
          </a:r>
        </a:p>
        <a:p>
          <a:pPr lvl="1"/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Общий уровень занятости растет одинаковыми темпами с 2021 по 2024 год (рост с ~27,6% до ~28,8–29,5%). </a:t>
          </a:r>
        </a:p>
        <a:p>
          <a:pPr lvl="0"/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Главный инсайт: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Разрыв между городом и селом лежит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не в самом факте наличия работы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а в её качестве и уровне квалификации (что напрямую связано с разрывом в высшем образовании). </a:t>
          </a:r>
        </a:p>
        <a:p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Социально-демографические показатели (Разводы и Браки)</a:t>
          </a:r>
        </a:p>
        <a:p>
          <a:pPr lvl="0"/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Аналитический вывод: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Уровень разводов в городской местности стабильно выше (8,8–9,1%), чем в сельской (6,0–6,7%). Однако к 2024 году на селе наметился тренд на рост числа разводов (+0,7% с 2022 по 2024 год). Доля состоящих в браке остается высокой в обеих группах (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60%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в городе и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63%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в селе). </a:t>
          </a:r>
        </a:p>
        <a:p>
          <a:pPr lvl="0"/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Главный инсайт: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Сельские семьи традиционно более устойчивы, однако урбанистические социальные тренды (рост разводов) постепенно начинают распространяться и на сельскую местность. </a:t>
          </a:r>
        </a:p>
        <a:p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Итоговое резюме </a:t>
          </a:r>
          <a:endParaRPr lang="ru-RU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Основная демографическая и экономическая проблема регионов заключается не в дефиците рабочих мест, а в </a:t>
          </a:r>
          <a:r>
            <a:rPr lang="ru-KZ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образовательном дисбалансе</a:t>
          </a:r>
          <a:r>
            <a:rPr lang="ru-KZ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село удерживает кадры среднего технического звена, но теряет обладателей высшего образования. Это сдерживает внедрение высоких технологий в сельском хозяйстве и региональной экономике</a:t>
          </a:r>
        </a:p>
        <a:p>
          <a:endParaRPr lang="ru-KZ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oly" refreshedDate="46294.669364004629" createdVersion="8" refreshedVersion="8" minRefreshableVersion="3" recordCount="157" xr:uid="{50E61EDD-A64E-46AC-BB7F-C6733ED03AF5}">
  <cacheSource type="worksheet">
    <worksheetSource name="rezultat"/>
  </cacheSource>
  <cacheFields count="8">
    <cacheField name="Год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Вопрос" numFmtId="0">
      <sharedItems count="83">
        <s v="1. Жизнью в целом"/>
        <s v="2. Условиями жизни"/>
        <s v="3. Состоянием здоровья"/>
        <s v="4. Финансовым положением"/>
        <s v="5. Профессиональными навыками"/>
        <s v="6. Экономическим положением семьи"/>
        <s v="7. Чувствую себя счастливым"/>
        <s v="8.1 Безопасность от нападения"/>
        <s v="8.2 Безопасность от кражи"/>
        <s v="8.3 Безопасность от физ. насилия"/>
        <s v="8.4 Безопасность от мошенничества"/>
        <s v="8.5 Безопасность от коррупции"/>
        <s v="8.6 Безопасность от дискриминации"/>
        <s v="9. Качеством жилья"/>
        <s v="10.1 Чистота территории у дома"/>
        <s v="10.2 Чистота воздуха"/>
        <s v="10.3 Качество питьевой воды"/>
        <s v="11. Уровень внешнего шума"/>
        <s v="12. Возможность самому приобрести жильё"/>
        <s v="13. Поддержка государства в предоставлении жилья"/>
        <s v="14. Наличие свободного времени"/>
        <s v="15.1 Гос. здравоохранение: стоимость"/>
        <s v="15.2 Гос. здравоохранение: качество"/>
        <s v="15.3 Гос. здравоохранение: доступность"/>
        <s v="16.1 Частное здравоохранение: стоимость"/>
        <s v="16.2 Частное здравоохранение: качество"/>
        <s v="16.3 Частное здравоохранение: доступность"/>
        <s v="17.1 Качество образования: дошкольное"/>
        <s v="17.2 Качество образования: школьное"/>
        <s v="17.3 Качество образования: среднее проф."/>
        <s v="17.4 Качество образования: высшее"/>
        <s v="18.1 Доступность образования: дошкольное"/>
        <s v="18.2 Доступность образования: школьное"/>
        <s v="18.3 Доступность образования: среднее проф."/>
        <s v="18.4 Доступность образования: высшее"/>
        <s v="19.1 Госкорпорация «Правительство для граждан»"/>
        <s v="19.2 Налоговые органы"/>
        <s v="19.3 Полиция"/>
        <s v="19.4 Скорая помощь"/>
        <s v="19.5 Пожарная служба"/>
        <s v="19.6 Другие гос. услуги"/>
        <s v="20.1 Органические продукты: стоимость"/>
        <s v="20.2 Органические продукты: доступность"/>
        <s v="21. Готовность покупать органические продукты"/>
        <s v="22. Уверенность в моральной поддержке"/>
        <s v="5. Профессиональной деятельностью"/>
        <s v="6.1 Общение с родственниками"/>
        <s v="6.2 Общение с друзьями"/>
        <s v="6.3 Общение с коллегами"/>
        <s v="7. Экономическим положением семьи"/>
        <s v="8. Чувствую себя счастливым"/>
        <s v="13. Поддержка государства в приобретении жилья"/>
        <s v="15.1 Качество здравоохранения: государственное"/>
        <s v="15.2 Качество здравоохранения: частное"/>
        <s v="16.1 Доступность здравоохранения: государственное"/>
        <s v="16.2 Доступность здравоохранения: частное"/>
        <s v="8. Качеством жилья"/>
        <s v="9.1 Чистота территории у дома"/>
        <s v="9.2 Чистота воздуха"/>
        <s v="9.3 Качество питьевой воды"/>
        <s v="10. Уровень внешнего шума"/>
        <s v="11. Возможность самому приобрести жильё"/>
        <s v="12. Поддержка государства в приобретении жилья"/>
        <s v="13. Наличие свободного времени"/>
        <s v="14.1 Качество здравоохранения: государственное"/>
        <s v="14.2 Качество здравоохранения: частное"/>
        <s v="15.1 Доступность здравоохранения: государственное"/>
        <s v="15.2 Доступность здравоохранения: частное"/>
        <s v="16.1 Качество образования: дошкольное"/>
        <s v="16.2 Качество образования: школьное"/>
        <s v="16.3 Качество образования: среднее проф."/>
        <s v="16.4 Качество образования: высшее"/>
        <s v="17.1 Доступность образования: дошкольное"/>
        <s v="17.2 Доступность образования: школьное"/>
        <s v="17.3 Доступность образования: среднее проф."/>
        <s v="17.4 Доступность образования: высшее"/>
        <s v="18.1 Госкорпорация «Правительство для граждан»"/>
        <s v="18.2 Налоговые органы"/>
        <s v="18.3 Полиция"/>
        <s v="18.4 Скорая помощь"/>
        <s v="18.5 Пожарная служба"/>
        <s v="18.6 Другие гос. услуги"/>
        <s v="19. Уверенность в моральной поддержке"/>
      </sharedItems>
    </cacheField>
    <cacheField name="Опрошено (чел)" numFmtId="0">
      <sharedItems containsSemiMixedTypes="0" containsString="0" containsNumber="1" containsInteger="1" minValue="9143" maxValue="11937"/>
    </cacheField>
    <cacheField name="Всего: % плохо" numFmtId="0">
      <sharedItems containsSemiMixedTypes="0" containsString="0" containsNumber="1" minValue="0.1" maxValue="28.4"/>
    </cacheField>
    <cacheField name="Всего: % средне" numFmtId="0">
      <sharedItems containsSemiMixedTypes="0" containsString="0" containsNumber="1" minValue="16.3" maxValue="66.099999999999994"/>
    </cacheField>
    <cacheField name="Всего: % хорошо" numFmtId="0">
      <sharedItems containsSemiMixedTypes="0" containsString="0" containsNumber="1" minValue="24.8" maxValue="83.3"/>
    </cacheField>
    <cacheField name="Город: % хорошо" numFmtId="0">
      <sharedItems containsSemiMixedTypes="0" containsString="0" containsNumber="1" minValue="20.8" maxValue="81.599999999999994"/>
    </cacheField>
    <cacheField name="Село: % хорошо" numFmtId="0">
      <sharedItems containsSemiMixedTypes="0" containsString="0" containsNumber="1" minValue="28.9" maxValue="8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oly" refreshedDate="46294.899708680554" createdVersion="8" refreshedVersion="8" minRefreshableVersion="3" recordCount="471" xr:uid="{B188EEEB-5C3D-4DC8-B6B0-D8FB67F381CA}">
  <cacheSource type="worksheet">
    <worksheetSource name="rezultat_po_ballam"/>
  </cacheSource>
  <cacheFields count="16">
    <cacheField name="Год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Вопрос" numFmtId="0">
      <sharedItems count="83">
        <s v="1. Жизнью в целом"/>
        <s v="2. Условиями жизни"/>
        <s v="3. Состоянием здоровья"/>
        <s v="4. Финансовым положением"/>
        <s v="5. Профессиональными навыками"/>
        <s v="6. Экономическим положением семьи"/>
        <s v="7. Чувствую себя счастливым"/>
        <s v="8.1 Безопасность от нападения"/>
        <s v="8.2 Безопасность от кражи"/>
        <s v="8.3 Безопасность от физ. насилия"/>
        <s v="8.4 Безопасность от мошенничества"/>
        <s v="8.5 Безопасность от коррупции"/>
        <s v="8.6 Безопасность от дискриминации"/>
        <s v="9. Качеством жилья"/>
        <s v="10.1 Чистота территории у дома"/>
        <s v="10.2 Чистота воздуха"/>
        <s v="10.3 Качество питьевой воды"/>
        <s v="11. Уровень внешнего шума"/>
        <s v="12. Возможность самому приобрести жильё"/>
        <s v="13. Поддержка государства в предоставлении жилья"/>
        <s v="14. Наличие свободного времени"/>
        <s v="15.1 Гос. здравоохранение: стоимость"/>
        <s v="15.2 Гос. здравоохранение: качество"/>
        <s v="15.3 Гос. здравоохранение: доступность"/>
        <s v="16.1 Частное здравоохранение: стоимость"/>
        <s v="16.2 Частное здравоохранение: качество"/>
        <s v="16.3 Частное здравоохранение: доступность"/>
        <s v="17.1 Качество образования: дошкольное"/>
        <s v="17.2 Качество образования: школьное"/>
        <s v="17.3 Качество образования: среднее проф."/>
        <s v="17.4 Качество образования: высшее"/>
        <s v="18.1 Доступность образования: дошкольное"/>
        <s v="18.2 Доступность образования: школьное"/>
        <s v="18.3 Доступность образования: среднее проф."/>
        <s v="18.4 Доступность образования: высшее"/>
        <s v="19.1 Госкорпорация «Правительство для граждан»"/>
        <s v="19.2 Налоговые органы"/>
        <s v="19.3 Полиция"/>
        <s v="19.4 Скорая помощь"/>
        <s v="19.5 Пожарная служба"/>
        <s v="19.6 Другие гос. услуги"/>
        <s v="20.1 Органические продукты: стоимость"/>
        <s v="20.2 Органические продукты: доступность"/>
        <s v="21. Готовность покупать органические продукты"/>
        <s v="22. Уверенность в моральной поддержке"/>
        <s v="5. Профессиональной деятельностью"/>
        <s v="6.1 Общение с родственниками"/>
        <s v="6.2 Общение с друзьями"/>
        <s v="6.3 Общение с коллегами"/>
        <s v="7. Экономическим положением семьи"/>
        <s v="8. Чувствую себя счастливым"/>
        <s v="13. Поддержка государства в приобретении жилья"/>
        <s v="15.1 Качество здравоохранения: государственное"/>
        <s v="15.2 Качество здравоохранения: частное"/>
        <s v="16.1 Доступность здравоохранения: государственное"/>
        <s v="16.2 Доступность здравоохранения: частное"/>
        <s v="8. Качеством жилья"/>
        <s v="9.1 Чистота территории у дома"/>
        <s v="9.2 Чистота воздуха"/>
        <s v="9.3 Качество питьевой воды"/>
        <s v="10. Уровень внешнего шума"/>
        <s v="11. Возможность самому приобрести жильё"/>
        <s v="12. Поддержка государства в приобретении жилья"/>
        <s v="13. Наличие свободного времени"/>
        <s v="14.1 Качество здравоохранения: государственное"/>
        <s v="14.2 Качество здравоохранения: частное"/>
        <s v="15.1 Доступность здравоохранения: государственное"/>
        <s v="15.2 Доступность здравоохранения: частное"/>
        <s v="16.1 Качество образования: дошкольное"/>
        <s v="16.2 Качество образования: школьное"/>
        <s v="16.3 Качество образования: среднее проф."/>
        <s v="16.4 Качество образования: высшее"/>
        <s v="17.1 Доступность образования: дошкольное"/>
        <s v="17.2 Доступность образования: школьное"/>
        <s v="17.3 Доступность образования: среднее проф."/>
        <s v="17.4 Доступность образования: высшее"/>
        <s v="18.1 Госкорпорация «Правительство для граждан»"/>
        <s v="18.2 Налоговые органы"/>
        <s v="18.3 Полиция"/>
        <s v="18.4 Скорая помощь"/>
        <s v="18.5 Пожарная служба"/>
        <s v="18.6 Другие гос. услуги"/>
        <s v="19. Уверенность в моральной поддержке"/>
      </sharedItems>
    </cacheField>
    <cacheField name="Местность" numFmtId="0">
      <sharedItems count="3">
        <s v="Всего"/>
        <s v="Город"/>
        <s v="Село"/>
      </sharedItems>
    </cacheField>
    <cacheField name="Опрошено (баллы 1-10)" numFmtId="0">
      <sharedItems containsSemiMixedTypes="0" containsString="0" containsNumber="1" containsInteger="1" minValue="4095" maxValue="11937"/>
    </cacheField>
    <cacheField name="% балл 1" numFmtId="0">
      <sharedItems containsSemiMixedTypes="0" containsString="0" containsNumber="1" minValue="0" maxValue="11.8"/>
    </cacheField>
    <cacheField name="% балл 2" numFmtId="0">
      <sharedItems containsSemiMixedTypes="0" containsString="0" containsNumber="1" minValue="0" maxValue="6.3"/>
    </cacheField>
    <cacheField name="% балл 3" numFmtId="0">
      <sharedItems containsSemiMixedTypes="0" containsString="0" containsNumber="1" minValue="0" maxValue="13.3"/>
    </cacheField>
    <cacheField name="% балл 4" numFmtId="0">
      <sharedItems containsSemiMixedTypes="0" containsString="0" containsNumber="1" minValue="0.4" maxValue="14.7"/>
    </cacheField>
    <cacheField name="% балл 5" numFmtId="0">
      <sharedItems containsSemiMixedTypes="0" containsString="0" containsNumber="1" minValue="1.1000000000000001" maxValue="14.5"/>
    </cacheField>
    <cacheField name="% балл 6" numFmtId="0">
      <sharedItems containsSemiMixedTypes="0" containsString="0" containsNumber="1" minValue="2.7" maxValue="16.8"/>
    </cacheField>
    <cacheField name="% балл 7" numFmtId="0">
      <sharedItems containsSemiMixedTypes="0" containsString="0" containsNumber="1" minValue="9.1999999999999993" maxValue="42.6"/>
    </cacheField>
    <cacheField name="% балл 8" numFmtId="0">
      <sharedItems containsSemiMixedTypes="0" containsString="0" containsNumber="1" minValue="11.9" maxValue="33.299999999999997"/>
    </cacheField>
    <cacheField name="% балл 9" numFmtId="0">
      <sharedItems containsSemiMixedTypes="0" containsString="0" containsNumber="1" minValue="5.3" maxValue="23.7"/>
    </cacheField>
    <cacheField name="% балл 10" numFmtId="0">
      <sharedItems containsSemiMixedTypes="0" containsString="0" containsNumber="1" minValue="3" maxValue="40"/>
    </cacheField>
    <cacheField name="Доля ответов 89 от всех, %" numFmtId="0">
      <sharedItems containsSemiMixedTypes="0" containsString="0" containsNumber="1" minValue="0" maxValue="24.3"/>
    </cacheField>
    <cacheField name="Средневзвешенный балл" numFmtId="164">
      <sharedItems containsSemiMixedTypes="0" containsString="0" containsNumber="1" minValue="5.28" maxValue="8.77400000000000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oly" refreshedDate="46295.462419791664" createdVersion="8" refreshedVersion="8" minRefreshableVersion="3" recordCount="240" xr:uid="{11DFC36E-045D-49C3-9A7B-DC23F551B519}">
  <cacheSource type="worksheet">
    <worksheetSource name="demography_structure_report"/>
  </cacheSource>
  <cacheFields count="6"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  <cacheField name="Region" numFmtId="0">
      <sharedItems count="2">
        <s v="Urban"/>
        <s v="Rural"/>
      </sharedItems>
    </cacheField>
    <cacheField name="Category" numFmtId="0">
      <sharedItems count="5">
        <s v="Household Role"/>
        <s v="Gender"/>
        <s v="Marital Status"/>
        <s v="Education Level"/>
        <s v="Employment Status"/>
      </sharedItems>
    </cacheField>
    <cacheField name="Answer" numFmtId="0">
      <sharedItems count="30">
        <s v="Head of household"/>
        <s v="Spouse"/>
        <s v="Child"/>
        <s v="Parent"/>
        <s v="Sibling"/>
        <s v="Grandparent"/>
        <s v="Grandchild"/>
        <s v="Other relative"/>
        <s v="Non-relative"/>
        <s v="Male"/>
        <s v="Female"/>
        <s v="Never married"/>
        <s v="Married"/>
        <s v="Widowed"/>
        <s v="Divorced"/>
        <s v="Preschool"/>
        <s v="Primary"/>
        <s v="Basic secondary"/>
        <s v="General secondary / TVET"/>
        <s v="Higher university"/>
        <s v="Postgraduate"/>
        <s v="No education"/>
        <s v="Employee"/>
        <s v="Self-employed"/>
        <s v="Unemployed"/>
        <s v="Pensioner"/>
        <s v="Student"/>
        <s v="Homemaker / Childcare"/>
        <s v="Disabled"/>
        <s v="Not working (other reasons)"/>
      </sharedItems>
    </cacheField>
    <cacheField name="Count" numFmtId="0">
      <sharedItems containsSemiMixedTypes="0" containsString="0" containsNumber="1" containsInteger="1" minValue="4" maxValue="12361"/>
    </cacheField>
    <cacheField name="Percentage" numFmtId="0">
      <sharedItems containsSemiMixedTypes="0" containsString="0" containsNumber="1" minValue="0" maxValue="63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n v="11927"/>
    <n v="0.4"/>
    <n v="37.700000000000003"/>
    <n v="61.9"/>
    <n v="57.7"/>
    <n v="67.099999999999994"/>
  </r>
  <r>
    <x v="0"/>
    <x v="1"/>
    <n v="11928"/>
    <n v="1.2"/>
    <n v="43.2"/>
    <n v="55.5"/>
    <n v="51.6"/>
    <n v="60.5"/>
  </r>
  <r>
    <x v="0"/>
    <x v="2"/>
    <n v="11920"/>
    <n v="3.5"/>
    <n v="46.8"/>
    <n v="49.7"/>
    <n v="46.8"/>
    <n v="53.3"/>
  </r>
  <r>
    <x v="0"/>
    <x v="3"/>
    <n v="11629"/>
    <n v="0.5"/>
    <n v="58.7"/>
    <n v="40.799999999999997"/>
    <n v="37.299999999999997"/>
    <n v="45.1"/>
  </r>
  <r>
    <x v="0"/>
    <x v="4"/>
    <n v="10257"/>
    <n v="1.3"/>
    <n v="35.4"/>
    <n v="63.3"/>
    <n v="60.8"/>
    <n v="66.3"/>
  </r>
  <r>
    <x v="0"/>
    <x v="5"/>
    <n v="11683"/>
    <n v="1.3"/>
    <n v="53.5"/>
    <n v="45.2"/>
    <n v="42.7"/>
    <n v="48.4"/>
  </r>
  <r>
    <x v="0"/>
    <x v="6"/>
    <n v="11847"/>
    <n v="0.6"/>
    <n v="28.7"/>
    <n v="70.7"/>
    <n v="67.2"/>
    <n v="75.099999999999994"/>
  </r>
  <r>
    <x v="0"/>
    <x v="7"/>
    <n v="11205"/>
    <n v="6.4"/>
    <n v="50.5"/>
    <n v="43.1"/>
    <n v="38.6"/>
    <n v="48.8"/>
  </r>
  <r>
    <x v="0"/>
    <x v="8"/>
    <n v="11248"/>
    <n v="7.7"/>
    <n v="53.8"/>
    <n v="38.5"/>
    <n v="34.6"/>
    <n v="43.4"/>
  </r>
  <r>
    <x v="0"/>
    <x v="9"/>
    <n v="11149"/>
    <n v="6.8"/>
    <n v="49.4"/>
    <n v="43.7"/>
    <n v="39.799999999999997"/>
    <n v="48.7"/>
  </r>
  <r>
    <x v="0"/>
    <x v="10"/>
    <n v="11168"/>
    <n v="8.5"/>
    <n v="53.8"/>
    <n v="37.700000000000003"/>
    <n v="34.1"/>
    <n v="42.2"/>
  </r>
  <r>
    <x v="0"/>
    <x v="11"/>
    <n v="10718"/>
    <n v="7.6"/>
    <n v="49.5"/>
    <n v="42.9"/>
    <n v="39.5"/>
    <n v="47.1"/>
  </r>
  <r>
    <x v="0"/>
    <x v="12"/>
    <n v="10905"/>
    <n v="4.5999999999999996"/>
    <n v="42.4"/>
    <n v="53"/>
    <n v="50.6"/>
    <n v="56"/>
  </r>
  <r>
    <x v="0"/>
    <x v="13"/>
    <n v="11840"/>
    <n v="2.6"/>
    <n v="44.1"/>
    <n v="53.3"/>
    <n v="48.8"/>
    <n v="59.1"/>
  </r>
  <r>
    <x v="0"/>
    <x v="14"/>
    <n v="11888"/>
    <n v="3"/>
    <n v="44.9"/>
    <n v="52.1"/>
    <n v="45.2"/>
    <n v="60.8"/>
  </r>
  <r>
    <x v="0"/>
    <x v="15"/>
    <n v="11916"/>
    <n v="6"/>
    <n v="46.2"/>
    <n v="47.8"/>
    <n v="35.700000000000003"/>
    <n v="63.2"/>
  </r>
  <r>
    <x v="0"/>
    <x v="16"/>
    <n v="11918"/>
    <n v="8.6"/>
    <n v="45.3"/>
    <n v="46.1"/>
    <n v="35.799999999999997"/>
    <n v="59.1"/>
  </r>
  <r>
    <x v="0"/>
    <x v="17"/>
    <n v="11896"/>
    <n v="3.3"/>
    <n v="41.6"/>
    <n v="55.1"/>
    <n v="46.1"/>
    <n v="66.599999999999994"/>
  </r>
  <r>
    <x v="0"/>
    <x v="18"/>
    <n v="10133"/>
    <n v="23.4"/>
    <n v="51.8"/>
    <n v="24.8"/>
    <n v="20.8"/>
    <n v="29.7"/>
  </r>
  <r>
    <x v="0"/>
    <x v="19"/>
    <n v="10179"/>
    <n v="28.4"/>
    <n v="39"/>
    <n v="32.6"/>
    <n v="29.2"/>
    <n v="36.799999999999997"/>
  </r>
  <r>
    <x v="0"/>
    <x v="20"/>
    <n v="11879"/>
    <n v="2.2000000000000002"/>
    <n v="45.6"/>
    <n v="52.2"/>
    <n v="47.9"/>
    <n v="57.7"/>
  </r>
  <r>
    <x v="0"/>
    <x v="21"/>
    <n v="11605"/>
    <n v="8.9"/>
    <n v="56.6"/>
    <n v="34.5"/>
    <n v="30.5"/>
    <n v="39.5"/>
  </r>
  <r>
    <x v="0"/>
    <x v="22"/>
    <n v="11641"/>
    <n v="8.5"/>
    <n v="57.2"/>
    <n v="34.200000000000003"/>
    <n v="30.6"/>
    <n v="38.9"/>
  </r>
  <r>
    <x v="0"/>
    <x v="23"/>
    <n v="11660"/>
    <n v="6.1"/>
    <n v="51.3"/>
    <n v="42.6"/>
    <n v="38.6"/>
    <n v="47.6"/>
  </r>
  <r>
    <x v="0"/>
    <x v="24"/>
    <n v="11410"/>
    <n v="16"/>
    <n v="56"/>
    <n v="27.9"/>
    <n v="25"/>
    <n v="31.7"/>
  </r>
  <r>
    <x v="0"/>
    <x v="25"/>
    <n v="11350"/>
    <n v="4.2"/>
    <n v="50.6"/>
    <n v="45.1"/>
    <n v="41.8"/>
    <n v="49.4"/>
  </r>
  <r>
    <x v="0"/>
    <x v="26"/>
    <n v="11397"/>
    <n v="4.9000000000000004"/>
    <n v="48.9"/>
    <n v="46.3"/>
    <n v="43.4"/>
    <n v="49.9"/>
  </r>
  <r>
    <x v="0"/>
    <x v="27"/>
    <n v="9912"/>
    <n v="2.5"/>
    <n v="37.299999999999997"/>
    <n v="60.1"/>
    <n v="55.2"/>
    <n v="66.3"/>
  </r>
  <r>
    <x v="0"/>
    <x v="28"/>
    <n v="10417"/>
    <n v="3.3"/>
    <n v="39.9"/>
    <n v="56.8"/>
    <n v="52.4"/>
    <n v="62.3"/>
  </r>
  <r>
    <x v="0"/>
    <x v="29"/>
    <n v="9682"/>
    <n v="3"/>
    <n v="41.3"/>
    <n v="55.7"/>
    <n v="51.8"/>
    <n v="60.5"/>
  </r>
  <r>
    <x v="0"/>
    <x v="30"/>
    <n v="9484"/>
    <n v="3.1"/>
    <n v="41.4"/>
    <n v="55.4"/>
    <n v="52.3"/>
    <n v="59.4"/>
  </r>
  <r>
    <x v="0"/>
    <x v="31"/>
    <n v="10249"/>
    <n v="2.2000000000000002"/>
    <n v="33.299999999999997"/>
    <n v="64.599999999999994"/>
    <n v="60.6"/>
    <n v="69.400000000000006"/>
  </r>
  <r>
    <x v="0"/>
    <x v="32"/>
    <n v="10781"/>
    <n v="1.1000000000000001"/>
    <n v="26.9"/>
    <n v="71.900000000000006"/>
    <n v="68.5"/>
    <n v="76.2"/>
  </r>
  <r>
    <x v="0"/>
    <x v="33"/>
    <n v="9963"/>
    <n v="1.6"/>
    <n v="36.5"/>
    <n v="61.9"/>
    <n v="59"/>
    <n v="65.599999999999994"/>
  </r>
  <r>
    <x v="0"/>
    <x v="34"/>
    <n v="9757"/>
    <n v="3.5"/>
    <n v="43.5"/>
    <n v="53"/>
    <n v="50.6"/>
    <n v="56"/>
  </r>
  <r>
    <x v="0"/>
    <x v="35"/>
    <n v="10418"/>
    <n v="3.3"/>
    <n v="44"/>
    <n v="52.7"/>
    <n v="49"/>
    <n v="57.3"/>
  </r>
  <r>
    <x v="0"/>
    <x v="36"/>
    <n v="10657"/>
    <n v="3"/>
    <n v="46.7"/>
    <n v="50.4"/>
    <n v="47"/>
    <n v="54.6"/>
  </r>
  <r>
    <x v="0"/>
    <x v="37"/>
    <n v="10825"/>
    <n v="3.5"/>
    <n v="46.8"/>
    <n v="49.7"/>
    <n v="46.5"/>
    <n v="53.7"/>
  </r>
  <r>
    <x v="0"/>
    <x v="38"/>
    <n v="11441"/>
    <n v="2.6"/>
    <n v="41.4"/>
    <n v="56.1"/>
    <n v="53.2"/>
    <n v="59.7"/>
  </r>
  <r>
    <x v="0"/>
    <x v="39"/>
    <n v="10325"/>
    <n v="1.6"/>
    <n v="39.5"/>
    <n v="58.9"/>
    <n v="55.9"/>
    <n v="62.5"/>
  </r>
  <r>
    <x v="0"/>
    <x v="40"/>
    <n v="9876"/>
    <n v="1.9"/>
    <n v="46.3"/>
    <n v="51.8"/>
    <n v="48.5"/>
    <n v="55.9"/>
  </r>
  <r>
    <x v="0"/>
    <x v="41"/>
    <n v="10883"/>
    <n v="8.9"/>
    <n v="55.6"/>
    <n v="35.5"/>
    <n v="32.4"/>
    <n v="39.6"/>
  </r>
  <r>
    <x v="0"/>
    <x v="42"/>
    <n v="10897"/>
    <n v="4.3"/>
    <n v="48"/>
    <n v="47.7"/>
    <n v="44.6"/>
    <n v="51.8"/>
  </r>
  <r>
    <x v="0"/>
    <x v="43"/>
    <n v="10875"/>
    <n v="3.7"/>
    <n v="45.5"/>
    <n v="50.8"/>
    <n v="48.1"/>
    <n v="54.2"/>
  </r>
  <r>
    <x v="0"/>
    <x v="44"/>
    <n v="11451"/>
    <n v="2.8"/>
    <n v="31.5"/>
    <n v="65.7"/>
    <n v="63.1"/>
    <n v="69"/>
  </r>
  <r>
    <x v="1"/>
    <x v="0"/>
    <n v="11893"/>
    <n v="0.2"/>
    <n v="57.7"/>
    <n v="42.1"/>
    <n v="42.2"/>
    <n v="41.9"/>
  </r>
  <r>
    <x v="1"/>
    <x v="1"/>
    <n v="11896"/>
    <n v="0.5"/>
    <n v="47"/>
    <n v="52.5"/>
    <n v="50.7"/>
    <n v="54.6"/>
  </r>
  <r>
    <x v="1"/>
    <x v="2"/>
    <n v="11913"/>
    <n v="3.1"/>
    <n v="47.7"/>
    <n v="49.2"/>
    <n v="47.1"/>
    <n v="51.6"/>
  </r>
  <r>
    <x v="1"/>
    <x v="3"/>
    <n v="11504"/>
    <n v="0.4"/>
    <n v="66.099999999999994"/>
    <n v="33.4"/>
    <n v="32.4"/>
    <n v="34.700000000000003"/>
  </r>
  <r>
    <x v="1"/>
    <x v="45"/>
    <n v="9740"/>
    <n v="1.2"/>
    <n v="33.700000000000003"/>
    <n v="65.099999999999994"/>
    <n v="63.7"/>
    <n v="66.5"/>
  </r>
  <r>
    <x v="1"/>
    <x v="46"/>
    <n v="11892"/>
    <n v="0.4"/>
    <n v="16.3"/>
    <n v="83.3"/>
    <n v="81.599999999999994"/>
    <n v="85.3"/>
  </r>
  <r>
    <x v="1"/>
    <x v="47"/>
    <n v="11753"/>
    <n v="0.7"/>
    <n v="19.5"/>
    <n v="79.8"/>
    <n v="77.8"/>
    <n v="82.1"/>
  </r>
  <r>
    <x v="1"/>
    <x v="48"/>
    <n v="9475"/>
    <n v="1.1000000000000001"/>
    <n v="22.7"/>
    <n v="76.2"/>
    <n v="74.3"/>
    <n v="78.400000000000006"/>
  </r>
  <r>
    <x v="1"/>
    <x v="49"/>
    <n v="11720"/>
    <n v="0.3"/>
    <n v="64.3"/>
    <n v="35.4"/>
    <n v="34.5"/>
    <n v="36.4"/>
  </r>
  <r>
    <x v="1"/>
    <x v="50"/>
    <n v="11835"/>
    <n v="0.5"/>
    <n v="26.7"/>
    <n v="72.8"/>
    <n v="71.599999999999994"/>
    <n v="74.2"/>
  </r>
  <r>
    <x v="1"/>
    <x v="13"/>
    <n v="11895"/>
    <n v="1.9"/>
    <n v="39.5"/>
    <n v="58.6"/>
    <n v="55.5"/>
    <n v="62.2"/>
  </r>
  <r>
    <x v="1"/>
    <x v="14"/>
    <n v="11859"/>
    <n v="2.2999999999999998"/>
    <n v="44.2"/>
    <n v="53.5"/>
    <n v="46.9"/>
    <n v="61.2"/>
  </r>
  <r>
    <x v="1"/>
    <x v="15"/>
    <n v="11852"/>
    <n v="5.3"/>
    <n v="46.5"/>
    <n v="48.1"/>
    <n v="37.200000000000003"/>
    <n v="60.8"/>
  </r>
  <r>
    <x v="1"/>
    <x v="16"/>
    <n v="11862"/>
    <n v="8.9"/>
    <n v="43.4"/>
    <n v="47.7"/>
    <n v="37.9"/>
    <n v="59"/>
  </r>
  <r>
    <x v="1"/>
    <x v="17"/>
    <n v="11838"/>
    <n v="3"/>
    <n v="42.6"/>
    <n v="54.3"/>
    <n v="45.3"/>
    <n v="64.8"/>
  </r>
  <r>
    <x v="1"/>
    <x v="18"/>
    <n v="9886"/>
    <n v="23.9"/>
    <n v="49.5"/>
    <n v="26.5"/>
    <n v="24.4"/>
    <n v="28.9"/>
  </r>
  <r>
    <x v="1"/>
    <x v="51"/>
    <n v="10029"/>
    <n v="27.7"/>
    <n v="42.3"/>
    <n v="30"/>
    <n v="28.2"/>
    <n v="31.9"/>
  </r>
  <r>
    <x v="1"/>
    <x v="20"/>
    <n v="11816"/>
    <n v="2.7"/>
    <n v="43.2"/>
    <n v="54"/>
    <n v="52.2"/>
    <n v="56.2"/>
  </r>
  <r>
    <x v="1"/>
    <x v="52"/>
    <n v="11507"/>
    <n v="5.8"/>
    <n v="54.5"/>
    <n v="39.700000000000003"/>
    <n v="36.799999999999997"/>
    <n v="43"/>
  </r>
  <r>
    <x v="1"/>
    <x v="53"/>
    <n v="11157"/>
    <n v="2.5"/>
    <n v="44.8"/>
    <n v="52.7"/>
    <n v="49.1"/>
    <n v="56.8"/>
  </r>
  <r>
    <x v="1"/>
    <x v="54"/>
    <n v="11613"/>
    <n v="4.5999999999999996"/>
    <n v="48.3"/>
    <n v="47.1"/>
    <n v="44.3"/>
    <n v="50.3"/>
  </r>
  <r>
    <x v="1"/>
    <x v="55"/>
    <n v="11303"/>
    <n v="3.9"/>
    <n v="48.6"/>
    <n v="47.6"/>
    <n v="45.3"/>
    <n v="50.2"/>
  </r>
  <r>
    <x v="1"/>
    <x v="27"/>
    <n v="10010"/>
    <n v="1.6"/>
    <n v="34.9"/>
    <n v="63.5"/>
    <n v="59.6"/>
    <n v="68"/>
  </r>
  <r>
    <x v="1"/>
    <x v="28"/>
    <n v="10539"/>
    <n v="1.8"/>
    <n v="36.200000000000003"/>
    <n v="62"/>
    <n v="58.6"/>
    <n v="65.8"/>
  </r>
  <r>
    <x v="1"/>
    <x v="29"/>
    <n v="9780"/>
    <n v="1.8"/>
    <n v="39.6"/>
    <n v="58.6"/>
    <n v="54.4"/>
    <n v="63.3"/>
  </r>
  <r>
    <x v="1"/>
    <x v="30"/>
    <n v="9600"/>
    <n v="2"/>
    <n v="41.2"/>
    <n v="56.9"/>
    <n v="53.3"/>
    <n v="60.9"/>
  </r>
  <r>
    <x v="1"/>
    <x v="31"/>
    <n v="10403"/>
    <n v="1.9"/>
    <n v="31.7"/>
    <n v="66.400000000000006"/>
    <n v="63.3"/>
    <n v="70"/>
  </r>
  <r>
    <x v="1"/>
    <x v="32"/>
    <n v="10862"/>
    <n v="0.8"/>
    <n v="25.6"/>
    <n v="73.599999999999994"/>
    <n v="70.7"/>
    <n v="76.900000000000006"/>
  </r>
  <r>
    <x v="1"/>
    <x v="33"/>
    <n v="10129"/>
    <n v="1.1000000000000001"/>
    <n v="36.5"/>
    <n v="62.4"/>
    <n v="58.6"/>
    <n v="66.8"/>
  </r>
  <r>
    <x v="1"/>
    <x v="34"/>
    <n v="9977"/>
    <n v="3.3"/>
    <n v="43.2"/>
    <n v="53.5"/>
    <n v="50"/>
    <n v="57.4"/>
  </r>
  <r>
    <x v="1"/>
    <x v="35"/>
    <n v="10632"/>
    <n v="2.2000000000000002"/>
    <n v="42.8"/>
    <n v="55"/>
    <n v="52.2"/>
    <n v="58.1"/>
  </r>
  <r>
    <x v="1"/>
    <x v="36"/>
    <n v="10733"/>
    <n v="2.6"/>
    <n v="43.5"/>
    <n v="53.9"/>
    <n v="51.3"/>
    <n v="56.9"/>
  </r>
  <r>
    <x v="1"/>
    <x v="37"/>
    <n v="10732"/>
    <n v="3.6"/>
    <n v="42.6"/>
    <n v="53.8"/>
    <n v="51.3"/>
    <n v="56.8"/>
  </r>
  <r>
    <x v="1"/>
    <x v="38"/>
    <n v="11381"/>
    <n v="2"/>
    <n v="37.6"/>
    <n v="60.4"/>
    <n v="59.2"/>
    <n v="61.8"/>
  </r>
  <r>
    <x v="1"/>
    <x v="39"/>
    <n v="10185"/>
    <n v="1.1000000000000001"/>
    <n v="36.700000000000003"/>
    <n v="62.2"/>
    <n v="60.5"/>
    <n v="64.2"/>
  </r>
  <r>
    <x v="1"/>
    <x v="40"/>
    <n v="9826"/>
    <n v="1.5"/>
    <n v="42.9"/>
    <n v="55.6"/>
    <n v="52.7"/>
    <n v="58.9"/>
  </r>
  <r>
    <x v="1"/>
    <x v="41"/>
    <n v="10942"/>
    <n v="11.2"/>
    <n v="51.9"/>
    <n v="36.9"/>
    <n v="34.9"/>
    <n v="39.200000000000003"/>
  </r>
  <r>
    <x v="1"/>
    <x v="42"/>
    <n v="10936"/>
    <n v="5.9"/>
    <n v="46"/>
    <n v="48.1"/>
    <n v="45.5"/>
    <n v="51.2"/>
  </r>
  <r>
    <x v="1"/>
    <x v="43"/>
    <n v="10846"/>
    <n v="5.0999999999999996"/>
    <n v="42.2"/>
    <n v="52.7"/>
    <n v="50.3"/>
    <n v="55.6"/>
  </r>
  <r>
    <x v="1"/>
    <x v="44"/>
    <n v="11488"/>
    <n v="1.6"/>
    <n v="30.8"/>
    <n v="67.599999999999994"/>
    <n v="65.3"/>
    <n v="70.2"/>
  </r>
  <r>
    <x v="2"/>
    <x v="0"/>
    <n v="11932"/>
    <n v="0.4"/>
    <n v="55.3"/>
    <n v="44.2"/>
    <n v="43.3"/>
    <n v="45.4"/>
  </r>
  <r>
    <x v="2"/>
    <x v="1"/>
    <n v="11924"/>
    <n v="0.5"/>
    <n v="44.7"/>
    <n v="54.8"/>
    <n v="53.6"/>
    <n v="56.2"/>
  </r>
  <r>
    <x v="2"/>
    <x v="2"/>
    <n v="11937"/>
    <n v="2.8"/>
    <n v="47.2"/>
    <n v="49.9"/>
    <n v="48.7"/>
    <n v="51.4"/>
  </r>
  <r>
    <x v="2"/>
    <x v="3"/>
    <n v="11653"/>
    <n v="0.4"/>
    <n v="62.1"/>
    <n v="37.5"/>
    <n v="36.1"/>
    <n v="39.299999999999997"/>
  </r>
  <r>
    <x v="2"/>
    <x v="45"/>
    <n v="9760"/>
    <n v="1.6"/>
    <n v="37.299999999999997"/>
    <n v="61"/>
    <n v="60.1"/>
    <n v="62.2"/>
  </r>
  <r>
    <x v="2"/>
    <x v="46"/>
    <n v="11934"/>
    <n v="0.5"/>
    <n v="17.8"/>
    <n v="81.7"/>
    <n v="81.599999999999994"/>
    <n v="81.8"/>
  </r>
  <r>
    <x v="2"/>
    <x v="47"/>
    <n v="11735"/>
    <n v="0.6"/>
    <n v="21.5"/>
    <n v="77.900000000000006"/>
    <n v="77.2"/>
    <n v="78.8"/>
  </r>
  <r>
    <x v="2"/>
    <x v="48"/>
    <n v="9143"/>
    <n v="0.9"/>
    <n v="26.8"/>
    <n v="72.3"/>
    <n v="71.599999999999994"/>
    <n v="73.3"/>
  </r>
  <r>
    <x v="2"/>
    <x v="49"/>
    <n v="11774"/>
    <n v="0.4"/>
    <n v="59.5"/>
    <n v="40"/>
    <n v="38.4"/>
    <n v="42"/>
  </r>
  <r>
    <x v="2"/>
    <x v="56"/>
    <n v="11913"/>
    <n v="1.5"/>
    <n v="41.6"/>
    <n v="56.9"/>
    <n v="53.8"/>
    <n v="60.6"/>
  </r>
  <r>
    <x v="2"/>
    <x v="57"/>
    <n v="11916"/>
    <n v="3"/>
    <n v="43.8"/>
    <n v="53.2"/>
    <n v="47"/>
    <n v="60.7"/>
  </r>
  <r>
    <x v="2"/>
    <x v="58"/>
    <n v="11909"/>
    <n v="6.9"/>
    <n v="44.5"/>
    <n v="48.6"/>
    <n v="41.2"/>
    <n v="57.5"/>
  </r>
  <r>
    <x v="2"/>
    <x v="59"/>
    <n v="11907"/>
    <n v="9"/>
    <n v="43.9"/>
    <n v="47.1"/>
    <n v="41.1"/>
    <n v="54.3"/>
  </r>
  <r>
    <x v="2"/>
    <x v="60"/>
    <n v="11880"/>
    <n v="2.6"/>
    <n v="42.1"/>
    <n v="55.3"/>
    <n v="45.3"/>
    <n v="67.400000000000006"/>
  </r>
  <r>
    <x v="2"/>
    <x v="61"/>
    <n v="9612"/>
    <n v="21.2"/>
    <n v="49.5"/>
    <n v="29.3"/>
    <n v="26.3"/>
    <n v="33"/>
  </r>
  <r>
    <x v="2"/>
    <x v="62"/>
    <n v="9711"/>
    <n v="22.9"/>
    <n v="44.3"/>
    <n v="32.700000000000003"/>
    <n v="30.3"/>
    <n v="35.6"/>
  </r>
  <r>
    <x v="2"/>
    <x v="63"/>
    <n v="11824"/>
    <n v="2.6"/>
    <n v="43.8"/>
    <n v="53.5"/>
    <n v="49.8"/>
    <n v="58"/>
  </r>
  <r>
    <x v="2"/>
    <x v="64"/>
    <n v="11669"/>
    <n v="5.9"/>
    <n v="48.1"/>
    <n v="46"/>
    <n v="43"/>
    <n v="49.7"/>
  </r>
  <r>
    <x v="2"/>
    <x v="65"/>
    <n v="11370"/>
    <n v="2.2999999999999998"/>
    <n v="40.799999999999997"/>
    <n v="56.9"/>
    <n v="54.3"/>
    <n v="60.1"/>
  </r>
  <r>
    <x v="2"/>
    <x v="66"/>
    <n v="11631"/>
    <n v="5"/>
    <n v="44.4"/>
    <n v="50.6"/>
    <n v="47.3"/>
    <n v="54.6"/>
  </r>
  <r>
    <x v="2"/>
    <x v="67"/>
    <n v="11382"/>
    <n v="2.8"/>
    <n v="44"/>
    <n v="53.2"/>
    <n v="49.9"/>
    <n v="57.3"/>
  </r>
  <r>
    <x v="2"/>
    <x v="68"/>
    <n v="10192"/>
    <n v="1.1000000000000001"/>
    <n v="32.1"/>
    <n v="66.8"/>
    <n v="63.6"/>
    <n v="70.7"/>
  </r>
  <r>
    <x v="2"/>
    <x v="69"/>
    <n v="10596"/>
    <n v="1.3"/>
    <n v="33.6"/>
    <n v="65.099999999999994"/>
    <n v="62.6"/>
    <n v="68"/>
  </r>
  <r>
    <x v="2"/>
    <x v="70"/>
    <n v="9958"/>
    <n v="1.4"/>
    <n v="35.1"/>
    <n v="63.5"/>
    <n v="60.8"/>
    <n v="66.7"/>
  </r>
  <r>
    <x v="2"/>
    <x v="71"/>
    <n v="9756"/>
    <n v="1.5"/>
    <n v="36.200000000000003"/>
    <n v="62.3"/>
    <n v="60.1"/>
    <n v="65"/>
  </r>
  <r>
    <x v="2"/>
    <x v="72"/>
    <n v="10355"/>
    <n v="1.8"/>
    <n v="30.9"/>
    <n v="67.3"/>
    <n v="65.3"/>
    <n v="69.8"/>
  </r>
  <r>
    <x v="2"/>
    <x v="73"/>
    <n v="10977"/>
    <n v="0.7"/>
    <n v="26.2"/>
    <n v="73.099999999999994"/>
    <n v="70.900000000000006"/>
    <n v="75.7"/>
  </r>
  <r>
    <x v="2"/>
    <x v="74"/>
    <n v="10168"/>
    <n v="1.1000000000000001"/>
    <n v="35.700000000000003"/>
    <n v="63.1"/>
    <n v="60.3"/>
    <n v="66.5"/>
  </r>
  <r>
    <x v="2"/>
    <x v="75"/>
    <n v="9926"/>
    <n v="2"/>
    <n v="42.1"/>
    <n v="55.9"/>
    <n v="54"/>
    <n v="58"/>
  </r>
  <r>
    <x v="2"/>
    <x v="76"/>
    <n v="10761"/>
    <n v="2"/>
    <n v="38.700000000000003"/>
    <n v="59.2"/>
    <n v="56.3"/>
    <n v="62.8"/>
  </r>
  <r>
    <x v="2"/>
    <x v="77"/>
    <n v="10781"/>
    <n v="2.2000000000000002"/>
    <n v="39.6"/>
    <n v="58.2"/>
    <n v="56"/>
    <n v="60.8"/>
  </r>
  <r>
    <x v="2"/>
    <x v="78"/>
    <n v="10923"/>
    <n v="2.8"/>
    <n v="40"/>
    <n v="57.1"/>
    <n v="55.1"/>
    <n v="59.5"/>
  </r>
  <r>
    <x v="2"/>
    <x v="79"/>
    <n v="11494"/>
    <n v="1.9"/>
    <n v="35.299999999999997"/>
    <n v="62.8"/>
    <n v="61.2"/>
    <n v="64.8"/>
  </r>
  <r>
    <x v="2"/>
    <x v="80"/>
    <n v="10511"/>
    <n v="1.1000000000000001"/>
    <n v="34.1"/>
    <n v="64.900000000000006"/>
    <n v="63.8"/>
    <n v="66.099999999999994"/>
  </r>
  <r>
    <x v="2"/>
    <x v="81"/>
    <n v="9960"/>
    <n v="1.7"/>
    <n v="40.299999999999997"/>
    <n v="57.9"/>
    <n v="55.6"/>
    <n v="60.7"/>
  </r>
  <r>
    <x v="2"/>
    <x v="82"/>
    <n v="11556"/>
    <n v="2"/>
    <n v="29.4"/>
    <n v="68.599999999999994"/>
    <n v="67.599999999999994"/>
    <n v="69.8"/>
  </r>
  <r>
    <x v="3"/>
    <x v="0"/>
    <n v="11918"/>
    <n v="0.1"/>
    <n v="54.4"/>
    <n v="45.5"/>
    <n v="41.3"/>
    <n v="50.6"/>
  </r>
  <r>
    <x v="3"/>
    <x v="1"/>
    <n v="11903"/>
    <n v="0.2"/>
    <n v="46.2"/>
    <n v="53.6"/>
    <n v="51"/>
    <n v="56.8"/>
  </r>
  <r>
    <x v="3"/>
    <x v="2"/>
    <n v="11888"/>
    <n v="2.1"/>
    <n v="47"/>
    <n v="50.9"/>
    <n v="48.2"/>
    <n v="54.2"/>
  </r>
  <r>
    <x v="3"/>
    <x v="3"/>
    <n v="11626"/>
    <n v="0.2"/>
    <n v="63"/>
    <n v="36.799999999999997"/>
    <n v="33.1"/>
    <n v="41.4"/>
  </r>
  <r>
    <x v="3"/>
    <x v="45"/>
    <n v="9804"/>
    <n v="1.3"/>
    <n v="35.799999999999997"/>
    <n v="62.9"/>
    <n v="60.3"/>
    <n v="66"/>
  </r>
  <r>
    <x v="3"/>
    <x v="46"/>
    <n v="11890"/>
    <n v="0.3"/>
    <n v="16.399999999999999"/>
    <n v="83.2"/>
    <n v="81.400000000000006"/>
    <n v="85.4"/>
  </r>
  <r>
    <x v="3"/>
    <x v="47"/>
    <n v="11718"/>
    <n v="0.4"/>
    <n v="21.3"/>
    <n v="78.3"/>
    <n v="75.900000000000006"/>
    <n v="81.3"/>
  </r>
  <r>
    <x v="3"/>
    <x v="48"/>
    <n v="9328"/>
    <n v="1.2"/>
    <n v="24.1"/>
    <n v="74.7"/>
    <n v="72.2"/>
    <n v="77.599999999999994"/>
  </r>
  <r>
    <x v="3"/>
    <x v="49"/>
    <n v="11646"/>
    <n v="0.2"/>
    <n v="61.4"/>
    <n v="38.4"/>
    <n v="35.1"/>
    <n v="42.5"/>
  </r>
  <r>
    <x v="3"/>
    <x v="56"/>
    <n v="11842"/>
    <n v="1.3"/>
    <n v="44"/>
    <n v="54.7"/>
    <n v="52.1"/>
    <n v="57.8"/>
  </r>
  <r>
    <x v="3"/>
    <x v="57"/>
    <n v="11859"/>
    <n v="2.4"/>
    <n v="44.8"/>
    <n v="52.8"/>
    <n v="48.9"/>
    <n v="57.6"/>
  </r>
  <r>
    <x v="3"/>
    <x v="58"/>
    <n v="11864"/>
    <n v="5.2"/>
    <n v="44.8"/>
    <n v="50"/>
    <n v="45.6"/>
    <n v="55.4"/>
  </r>
  <r>
    <x v="3"/>
    <x v="59"/>
    <n v="11867"/>
    <n v="6.6"/>
    <n v="44.8"/>
    <n v="48.7"/>
    <n v="45"/>
    <n v="53.1"/>
  </r>
  <r>
    <x v="3"/>
    <x v="60"/>
    <n v="11824"/>
    <n v="2.2999999999999998"/>
    <n v="42.4"/>
    <n v="55.3"/>
    <n v="48.8"/>
    <n v="63.2"/>
  </r>
  <r>
    <x v="3"/>
    <x v="61"/>
    <n v="10153"/>
    <n v="21.3"/>
    <n v="47.5"/>
    <n v="31.2"/>
    <n v="29.4"/>
    <n v="33.4"/>
  </r>
  <r>
    <x v="3"/>
    <x v="62"/>
    <n v="10238"/>
    <n v="26.6"/>
    <n v="42.7"/>
    <n v="30.7"/>
    <n v="28.1"/>
    <n v="33.799999999999997"/>
  </r>
  <r>
    <x v="3"/>
    <x v="63"/>
    <n v="11727"/>
    <n v="2.6"/>
    <n v="44.4"/>
    <n v="53"/>
    <n v="49.5"/>
    <n v="57.3"/>
  </r>
  <r>
    <x v="3"/>
    <x v="64"/>
    <n v="11595"/>
    <n v="5.3"/>
    <n v="47.7"/>
    <n v="46.9"/>
    <n v="42.8"/>
    <n v="52"/>
  </r>
  <r>
    <x v="3"/>
    <x v="65"/>
    <n v="11372"/>
    <n v="1.7"/>
    <n v="40.1"/>
    <n v="58.2"/>
    <n v="55.2"/>
    <n v="61.9"/>
  </r>
  <r>
    <x v="3"/>
    <x v="66"/>
    <n v="11575"/>
    <n v="4.5"/>
    <n v="42.5"/>
    <n v="52.9"/>
    <n v="49.1"/>
    <n v="57.6"/>
  </r>
  <r>
    <x v="3"/>
    <x v="67"/>
    <n v="11415"/>
    <n v="2.5"/>
    <n v="40.799999999999997"/>
    <n v="56.7"/>
    <n v="54.3"/>
    <n v="59.7"/>
  </r>
  <r>
    <x v="3"/>
    <x v="68"/>
    <n v="10154"/>
    <n v="0.5"/>
    <n v="31"/>
    <n v="68.5"/>
    <n v="64.5"/>
    <n v="73.400000000000006"/>
  </r>
  <r>
    <x v="3"/>
    <x v="69"/>
    <n v="10707"/>
    <n v="0.6"/>
    <n v="32.700000000000003"/>
    <n v="66.8"/>
    <n v="63.7"/>
    <n v="70.599999999999994"/>
  </r>
  <r>
    <x v="3"/>
    <x v="70"/>
    <n v="10050"/>
    <n v="0.6"/>
    <n v="34.4"/>
    <n v="65"/>
    <n v="61.6"/>
    <n v="69.099999999999994"/>
  </r>
  <r>
    <x v="3"/>
    <x v="71"/>
    <n v="9791"/>
    <n v="0.9"/>
    <n v="34.9"/>
    <n v="64.2"/>
    <n v="61.1"/>
    <n v="67.8"/>
  </r>
  <r>
    <x v="3"/>
    <x v="72"/>
    <n v="10360"/>
    <n v="1"/>
    <n v="29.7"/>
    <n v="69.3"/>
    <n v="66.3"/>
    <n v="72.900000000000006"/>
  </r>
  <r>
    <x v="3"/>
    <x v="73"/>
    <n v="10792"/>
    <n v="0.3"/>
    <n v="25.1"/>
    <n v="74.599999999999994"/>
    <n v="72.099999999999994"/>
    <n v="77.599999999999994"/>
  </r>
  <r>
    <x v="3"/>
    <x v="74"/>
    <n v="10196"/>
    <n v="1.3"/>
    <n v="33.1"/>
    <n v="65.599999999999994"/>
    <n v="63.2"/>
    <n v="68.5"/>
  </r>
  <r>
    <x v="3"/>
    <x v="75"/>
    <n v="9962"/>
    <n v="2.2000000000000002"/>
    <n v="39.6"/>
    <n v="58.2"/>
    <n v="55.3"/>
    <n v="61.6"/>
  </r>
  <r>
    <x v="3"/>
    <x v="76"/>
    <n v="10695"/>
    <n v="1.9"/>
    <n v="35"/>
    <n v="63.1"/>
    <n v="60.5"/>
    <n v="66.2"/>
  </r>
  <r>
    <x v="3"/>
    <x v="77"/>
    <n v="10722"/>
    <n v="2.6"/>
    <n v="37.5"/>
    <n v="60"/>
    <n v="57.8"/>
    <n v="62.6"/>
  </r>
  <r>
    <x v="3"/>
    <x v="78"/>
    <n v="10880"/>
    <n v="3.5"/>
    <n v="35.9"/>
    <n v="60.6"/>
    <n v="58.5"/>
    <n v="63.1"/>
  </r>
  <r>
    <x v="3"/>
    <x v="79"/>
    <n v="11466"/>
    <n v="1.9"/>
    <n v="32.299999999999997"/>
    <n v="65.8"/>
    <n v="64.8"/>
    <n v="67.099999999999994"/>
  </r>
  <r>
    <x v="3"/>
    <x v="80"/>
    <n v="10621"/>
    <n v="1.3"/>
    <n v="29.4"/>
    <n v="69.3"/>
    <n v="68.5"/>
    <n v="70.3"/>
  </r>
  <r>
    <x v="3"/>
    <x v="81"/>
    <n v="9860"/>
    <n v="1.1000000000000001"/>
    <n v="36.4"/>
    <n v="62.5"/>
    <n v="60.2"/>
    <n v="65.2"/>
  </r>
  <r>
    <x v="3"/>
    <x v="82"/>
    <n v="11378"/>
    <n v="1.9"/>
    <n v="28"/>
    <n v="70.2"/>
    <n v="68"/>
    <n v="72.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1">
  <r>
    <x v="0"/>
    <x v="0"/>
    <x v="0"/>
    <n v="11927"/>
    <n v="0.1"/>
    <n v="0.1"/>
    <n v="0.3"/>
    <n v="2.5"/>
    <n v="5.5"/>
    <n v="9.1"/>
    <n v="20.5"/>
    <n v="28.7"/>
    <n v="17"/>
    <n v="16.2"/>
    <n v="0.2"/>
    <n v="7.8140000000000001"/>
  </r>
  <r>
    <x v="0"/>
    <x v="0"/>
    <x v="1"/>
    <n v="6644"/>
    <n v="0.1"/>
    <n v="0.1"/>
    <n v="0.3"/>
    <n v="2.7"/>
    <n v="6.5"/>
    <n v="11.1"/>
    <n v="21.4"/>
    <n v="28.1"/>
    <n v="15.8"/>
    <n v="13.9"/>
    <n v="0.3"/>
    <n v="7.6689999999999996"/>
  </r>
  <r>
    <x v="0"/>
    <x v="0"/>
    <x v="2"/>
    <n v="5283"/>
    <n v="0"/>
    <n v="0.1"/>
    <n v="0.2"/>
    <n v="2.4"/>
    <n v="4.3"/>
    <n v="6.5"/>
    <n v="19.399999999999999"/>
    <n v="29.5"/>
    <n v="18.5"/>
    <n v="19.2"/>
    <n v="0.1"/>
    <n v="8.0120000000000005"/>
  </r>
  <r>
    <x v="0"/>
    <x v="1"/>
    <x v="0"/>
    <n v="11928"/>
    <n v="0.1"/>
    <n v="0.2"/>
    <n v="0.9"/>
    <n v="3.2"/>
    <n v="7.1"/>
    <n v="10.6"/>
    <n v="22.3"/>
    <n v="27.2"/>
    <n v="15.8"/>
    <n v="12.6"/>
    <n v="0.2"/>
    <n v="7.57"/>
  </r>
  <r>
    <x v="0"/>
    <x v="1"/>
    <x v="1"/>
    <n v="6646"/>
    <n v="0.1"/>
    <n v="0.3"/>
    <n v="1"/>
    <n v="3.5"/>
    <n v="8.1999999999999993"/>
    <n v="12"/>
    <n v="23.3"/>
    <n v="26.7"/>
    <n v="14.1"/>
    <n v="10.9"/>
    <n v="0.3"/>
    <n v="7.4329999999999998"/>
  </r>
  <r>
    <x v="0"/>
    <x v="1"/>
    <x v="2"/>
    <n v="5282"/>
    <n v="0"/>
    <n v="0.1"/>
    <n v="0.9"/>
    <n v="2.9"/>
    <n v="5.8"/>
    <n v="8.9"/>
    <n v="21"/>
    <n v="27.9"/>
    <n v="17.899999999999999"/>
    <n v="14.7"/>
    <n v="0.2"/>
    <n v="7.7519999999999989"/>
  </r>
  <r>
    <x v="0"/>
    <x v="2"/>
    <x v="0"/>
    <n v="11920"/>
    <n v="0.4"/>
    <n v="0.5"/>
    <n v="2.6"/>
    <n v="5.9"/>
    <n v="9.4"/>
    <n v="11.4"/>
    <n v="20.100000000000001"/>
    <n v="24.9"/>
    <n v="14.9"/>
    <n v="9.9"/>
    <n v="0.3"/>
    <n v="7.2120000000000006"/>
  </r>
  <r>
    <x v="0"/>
    <x v="2"/>
    <x v="1"/>
    <n v="6643"/>
    <n v="0.4"/>
    <n v="0.7"/>
    <n v="2.9"/>
    <n v="6.4"/>
    <n v="9.6999999999999993"/>
    <n v="12.8"/>
    <n v="20.399999999999999"/>
    <n v="24.3"/>
    <n v="13.8"/>
    <n v="8.8000000000000007"/>
    <n v="0.3"/>
    <n v="7.1079999999999997"/>
  </r>
  <r>
    <x v="0"/>
    <x v="2"/>
    <x v="2"/>
    <n v="5277"/>
    <n v="0.3"/>
    <n v="0.2"/>
    <n v="2.2999999999999998"/>
    <n v="5.0999999999999996"/>
    <n v="9.1"/>
    <n v="9.8000000000000007"/>
    <n v="19.7"/>
    <n v="25.7"/>
    <n v="16.2"/>
    <n v="11.4"/>
    <n v="0.2"/>
    <n v="7.355999999999999"/>
  </r>
  <r>
    <x v="0"/>
    <x v="3"/>
    <x v="0"/>
    <n v="11629"/>
    <n v="0"/>
    <n v="0.1"/>
    <n v="0.4"/>
    <n v="7.2"/>
    <n v="11.1"/>
    <n v="15"/>
    <n v="25.5"/>
    <n v="22.3"/>
    <n v="11.3"/>
    <n v="7.2"/>
    <n v="2.7"/>
    <n v="7.0629999999999997"/>
  </r>
  <r>
    <x v="0"/>
    <x v="3"/>
    <x v="1"/>
    <n v="6485"/>
    <n v="0"/>
    <n v="0.1"/>
    <n v="0.4"/>
    <n v="8.1"/>
    <n v="11.8"/>
    <n v="16.399999999999999"/>
    <n v="25.8"/>
    <n v="21.1"/>
    <n v="10.1"/>
    <n v="6.1"/>
    <n v="2.7"/>
    <n v="6.9250000000000007"/>
  </r>
  <r>
    <x v="0"/>
    <x v="3"/>
    <x v="2"/>
    <n v="5144"/>
    <n v="0"/>
    <n v="0.1"/>
    <n v="0.4"/>
    <n v="6.1"/>
    <n v="10.1"/>
    <n v="13.2"/>
    <n v="25.1"/>
    <n v="23.9"/>
    <n v="12.7"/>
    <n v="8.5"/>
    <n v="2.8"/>
    <n v="7.2169999999999996"/>
  </r>
  <r>
    <x v="0"/>
    <x v="4"/>
    <x v="0"/>
    <n v="10257"/>
    <n v="0.1"/>
    <n v="0.1"/>
    <n v="1.2"/>
    <n v="3.2"/>
    <n v="6.1"/>
    <n v="7.8"/>
    <n v="18.3"/>
    <n v="30.9"/>
    <n v="15.9"/>
    <n v="16.5"/>
    <n v="14.2"/>
    <n v="7.7739999999999991"/>
  </r>
  <r>
    <x v="0"/>
    <x v="4"/>
    <x v="1"/>
    <n v="5696"/>
    <n v="0"/>
    <n v="0.1"/>
    <n v="1.3"/>
    <n v="3.7"/>
    <n v="6.4"/>
    <n v="8.4"/>
    <n v="19.2"/>
    <n v="30.7"/>
    <n v="15.2"/>
    <n v="15"/>
    <n v="14.5"/>
    <n v="7.6810000000000009"/>
  </r>
  <r>
    <x v="0"/>
    <x v="4"/>
    <x v="2"/>
    <n v="4561"/>
    <n v="0.1"/>
    <n v="0.1"/>
    <n v="1"/>
    <n v="2.6"/>
    <n v="5.6"/>
    <n v="6.9"/>
    <n v="17.3"/>
    <n v="31.1"/>
    <n v="16.899999999999999"/>
    <n v="18.399999999999999"/>
    <n v="13.8"/>
    <n v="7.891"/>
  </r>
  <r>
    <x v="0"/>
    <x v="5"/>
    <x v="0"/>
    <n v="11683"/>
    <n v="0.3"/>
    <n v="0.2"/>
    <n v="0.8"/>
    <n v="5.6"/>
    <n v="9.1"/>
    <n v="14.4"/>
    <n v="24.3"/>
    <n v="24.7"/>
    <n v="13.2"/>
    <n v="7.3"/>
    <n v="2.2999999999999998"/>
    <n v="7.1689999999999987"/>
  </r>
  <r>
    <x v="0"/>
    <x v="5"/>
    <x v="1"/>
    <n v="6511"/>
    <n v="0.2"/>
    <n v="0.3"/>
    <n v="1"/>
    <n v="6.2"/>
    <n v="9.6"/>
    <n v="15.6"/>
    <n v="24.4"/>
    <n v="24"/>
    <n v="12.1"/>
    <n v="6.6"/>
    <n v="2.2999999999999998"/>
    <n v="7.0790000000000006"/>
  </r>
  <r>
    <x v="0"/>
    <x v="5"/>
    <x v="2"/>
    <n v="5172"/>
    <n v="0.3"/>
    <n v="0.2"/>
    <n v="0.7"/>
    <n v="4.8"/>
    <n v="8.5"/>
    <n v="12.9"/>
    <n v="24.2"/>
    <n v="25.5"/>
    <n v="14.6"/>
    <n v="8.3000000000000007"/>
    <n v="2.2000000000000002"/>
    <n v="7.2970000000000006"/>
  </r>
  <r>
    <x v="0"/>
    <x v="6"/>
    <x v="0"/>
    <n v="11847"/>
    <n v="0.1"/>
    <n v="0.2"/>
    <n v="0.4"/>
    <n v="1.7"/>
    <n v="4.0999999999999996"/>
    <n v="6.3"/>
    <n v="16.5"/>
    <n v="28.4"/>
    <n v="18.100000000000001"/>
    <n v="24.1"/>
    <n v="0.9"/>
    <n v="8.1340000000000003"/>
  </r>
  <r>
    <x v="0"/>
    <x v="6"/>
    <x v="1"/>
    <n v="6597"/>
    <n v="0.1"/>
    <n v="0.2"/>
    <n v="0.5"/>
    <n v="1.9"/>
    <n v="4.7"/>
    <n v="7.2"/>
    <n v="18.2"/>
    <n v="28.3"/>
    <n v="17.3"/>
    <n v="21.6"/>
    <n v="1"/>
    <n v="8.0180000000000007"/>
  </r>
  <r>
    <x v="0"/>
    <x v="6"/>
    <x v="2"/>
    <n v="5250"/>
    <n v="0.1"/>
    <n v="0.1"/>
    <n v="0.2"/>
    <n v="1.5"/>
    <n v="3.4"/>
    <n v="5.3"/>
    <n v="14.3"/>
    <n v="28.6"/>
    <n v="19.2"/>
    <n v="27.3"/>
    <n v="0.8"/>
    <n v="8.3040000000000003"/>
  </r>
  <r>
    <x v="0"/>
    <x v="7"/>
    <x v="0"/>
    <n v="11205"/>
    <n v="1.5"/>
    <n v="1.1000000000000001"/>
    <n v="3.8"/>
    <n v="6.2"/>
    <n v="10.7"/>
    <n v="13.2"/>
    <n v="20.3"/>
    <n v="22.1"/>
    <n v="12.1"/>
    <n v="8.9"/>
    <n v="6.3"/>
    <n v="6.8939999999999992"/>
  </r>
  <r>
    <x v="0"/>
    <x v="7"/>
    <x v="1"/>
    <n v="6248"/>
    <n v="1.5"/>
    <n v="1.3"/>
    <n v="4.5999999999999996"/>
    <n v="7.3"/>
    <n v="11.6"/>
    <n v="14.5"/>
    <n v="20.7"/>
    <n v="20.6"/>
    <n v="10.4"/>
    <n v="7.6"/>
    <n v="6.2"/>
    <n v="6.7140000000000004"/>
  </r>
  <r>
    <x v="0"/>
    <x v="7"/>
    <x v="2"/>
    <n v="4957"/>
    <n v="1.4"/>
    <n v="0.9"/>
    <n v="2.8"/>
    <n v="5"/>
    <n v="9.6999999999999993"/>
    <n v="11.7"/>
    <n v="19.8"/>
    <n v="24"/>
    <n v="14.1"/>
    <n v="10.7"/>
    <n v="6.3"/>
    <n v="7.1479999999999997"/>
  </r>
  <r>
    <x v="0"/>
    <x v="8"/>
    <x v="0"/>
    <n v="11248"/>
    <n v="1.7"/>
    <n v="1.4"/>
    <n v="4.5999999999999996"/>
    <n v="7.3"/>
    <n v="11.6"/>
    <n v="15.2"/>
    <n v="19.7"/>
    <n v="20"/>
    <n v="10.7"/>
    <n v="7.8"/>
    <n v="5.9"/>
    <n v="6.6890000000000001"/>
  </r>
  <r>
    <x v="0"/>
    <x v="8"/>
    <x v="1"/>
    <n v="6264"/>
    <n v="1.9"/>
    <n v="1.7"/>
    <n v="5.3"/>
    <n v="8.3000000000000007"/>
    <n v="12.3"/>
    <n v="16.3"/>
    <n v="19.600000000000001"/>
    <n v="18.3"/>
    <n v="9.4"/>
    <n v="6.8"/>
    <n v="6"/>
    <n v="6.4990000000000006"/>
  </r>
  <r>
    <x v="0"/>
    <x v="8"/>
    <x v="2"/>
    <n v="4984"/>
    <n v="1.4"/>
    <n v="1.1000000000000001"/>
    <n v="3.7"/>
    <n v="6"/>
    <n v="10.8"/>
    <n v="13.8"/>
    <n v="19.8"/>
    <n v="22.1"/>
    <n v="12.3"/>
    <n v="9"/>
    <n v="5.8"/>
    <n v="6.9160000000000004"/>
  </r>
  <r>
    <x v="0"/>
    <x v="9"/>
    <x v="0"/>
    <n v="11149"/>
    <n v="1.6"/>
    <n v="1.2"/>
    <n v="4.0999999999999996"/>
    <n v="6.2"/>
    <n v="10.199999999999999"/>
    <n v="13.3"/>
    <n v="19.8"/>
    <n v="21"/>
    <n v="12.6"/>
    <n v="10.199999999999999"/>
    <n v="6.7"/>
    <n v="6.9390000000000001"/>
  </r>
  <r>
    <x v="0"/>
    <x v="9"/>
    <x v="1"/>
    <n v="6212"/>
    <n v="1.8"/>
    <n v="1.2"/>
    <n v="4.9000000000000004"/>
    <n v="7.1"/>
    <n v="10.9"/>
    <n v="14.3"/>
    <n v="20.100000000000001"/>
    <n v="19.7"/>
    <n v="11.1"/>
    <n v="9"/>
    <n v="6.8"/>
    <n v="6.758"/>
  </r>
  <r>
    <x v="0"/>
    <x v="9"/>
    <x v="2"/>
    <n v="4937"/>
    <n v="1.3"/>
    <n v="1.1000000000000001"/>
    <n v="3.2"/>
    <n v="5.2"/>
    <n v="9.1999999999999993"/>
    <n v="12"/>
    <n v="19.3"/>
    <n v="22.6"/>
    <n v="14.4"/>
    <n v="11.7"/>
    <n v="6.7"/>
    <n v="7.1440000000000001"/>
  </r>
  <r>
    <x v="0"/>
    <x v="10"/>
    <x v="0"/>
    <n v="11168"/>
    <n v="2"/>
    <n v="1.5"/>
    <n v="4.9000000000000004"/>
    <n v="7.9"/>
    <n v="12.4"/>
    <n v="13.7"/>
    <n v="19.8"/>
    <n v="19.2"/>
    <n v="10"/>
    <n v="8.5"/>
    <n v="6.6"/>
    <n v="6.6269999999999998"/>
  </r>
  <r>
    <x v="0"/>
    <x v="10"/>
    <x v="1"/>
    <n v="6224"/>
    <n v="2.2999999999999998"/>
    <n v="1.5"/>
    <n v="5.6"/>
    <n v="8.9"/>
    <n v="13.1"/>
    <n v="14.6"/>
    <n v="19.8"/>
    <n v="17.899999999999999"/>
    <n v="8.6999999999999993"/>
    <n v="7.6"/>
    <n v="6.6"/>
    <n v="6.4689999999999994"/>
  </r>
  <r>
    <x v="0"/>
    <x v="10"/>
    <x v="2"/>
    <n v="4944"/>
    <n v="1.7"/>
    <n v="1.6"/>
    <n v="4.0999999999999996"/>
    <n v="6.7"/>
    <n v="11.4"/>
    <n v="12.6"/>
    <n v="19.8"/>
    <n v="20.9"/>
    <n v="11.7"/>
    <n v="9.6"/>
    <n v="6.5"/>
    <n v="6.8369999999999997"/>
  </r>
  <r>
    <x v="0"/>
    <x v="11"/>
    <x v="0"/>
    <n v="10718"/>
    <n v="2.1"/>
    <n v="1.3"/>
    <n v="4.2"/>
    <n v="6.8"/>
    <n v="11"/>
    <n v="12.7"/>
    <n v="19.100000000000001"/>
    <n v="20.2"/>
    <n v="12.2"/>
    <n v="10.5"/>
    <n v="10.3"/>
    <n v="6.8579999999999997"/>
  </r>
  <r>
    <x v="0"/>
    <x v="11"/>
    <x v="1"/>
    <n v="5964"/>
    <n v="2.2999999999999998"/>
    <n v="1.4"/>
    <n v="4.5999999999999996"/>
    <n v="7.6"/>
    <n v="11.9"/>
    <n v="13.3"/>
    <n v="19.3"/>
    <n v="19.100000000000001"/>
    <n v="11"/>
    <n v="9.4"/>
    <n v="10.5"/>
    <n v="6.6950000000000003"/>
  </r>
  <r>
    <x v="0"/>
    <x v="11"/>
    <x v="2"/>
    <n v="4754"/>
    <n v="1.9"/>
    <n v="1.1000000000000001"/>
    <n v="3.7"/>
    <n v="5.7"/>
    <n v="10"/>
    <n v="11.9"/>
    <n v="18.7"/>
    <n v="21.6"/>
    <n v="13.6"/>
    <n v="11.8"/>
    <n v="10.1"/>
    <n v="7.0350000000000001"/>
  </r>
  <r>
    <x v="0"/>
    <x v="12"/>
    <x v="0"/>
    <n v="10905"/>
    <n v="1.2"/>
    <n v="0.8"/>
    <n v="2.6"/>
    <n v="5.3"/>
    <n v="8.6999999999999993"/>
    <n v="11"/>
    <n v="17.399999999999999"/>
    <n v="21.9"/>
    <n v="14.9"/>
    <n v="16.2"/>
    <n v="8.8000000000000007"/>
    <n v="7.3439999999999994"/>
  </r>
  <r>
    <x v="0"/>
    <x v="12"/>
    <x v="1"/>
    <n v="6079"/>
    <n v="1.3"/>
    <n v="0.9"/>
    <n v="3"/>
    <n v="6.2"/>
    <n v="9"/>
    <n v="11.5"/>
    <n v="17.5"/>
    <n v="21.5"/>
    <n v="13.9"/>
    <n v="15.1"/>
    <n v="8.8000000000000007"/>
    <n v="7.2149999999999999"/>
  </r>
  <r>
    <x v="0"/>
    <x v="12"/>
    <x v="2"/>
    <n v="4826"/>
    <n v="1.1000000000000001"/>
    <n v="0.6"/>
    <n v="2.1"/>
    <n v="4.2"/>
    <n v="8.4"/>
    <n v="10.4"/>
    <n v="17.2"/>
    <n v="22.5"/>
    <n v="16"/>
    <n v="17.5"/>
    <n v="8.8000000000000007"/>
    <n v="7.4919999999999991"/>
  </r>
  <r>
    <x v="0"/>
    <x v="13"/>
    <x v="0"/>
    <n v="11840"/>
    <n v="0.3"/>
    <n v="0.4"/>
    <n v="1.8"/>
    <n v="4.4000000000000004"/>
    <n v="7.8"/>
    <n v="10.5"/>
    <n v="21.4"/>
    <n v="26.9"/>
    <n v="14.9"/>
    <n v="11.5"/>
    <n v="0.9"/>
    <n v="7.4019999999999992"/>
  </r>
  <r>
    <x v="0"/>
    <x v="13"/>
    <x v="1"/>
    <n v="6606"/>
    <n v="0.4"/>
    <n v="0.4"/>
    <n v="2.1"/>
    <n v="5.4"/>
    <n v="8.6999999999999993"/>
    <n v="11.6"/>
    <n v="22.6"/>
    <n v="25.3"/>
    <n v="13.2"/>
    <n v="10.199999999999999"/>
    <n v="0.9"/>
    <n v="7.2360000000000007"/>
  </r>
  <r>
    <x v="0"/>
    <x v="13"/>
    <x v="2"/>
    <n v="5234"/>
    <n v="0.2"/>
    <n v="0.4"/>
    <n v="1.5"/>
    <n v="3.1"/>
    <n v="6.7"/>
    <n v="9.1"/>
    <n v="19.899999999999999"/>
    <n v="28.9"/>
    <n v="17"/>
    <n v="13.1"/>
    <n v="1.1000000000000001"/>
    <n v="7.6050000000000004"/>
  </r>
  <r>
    <x v="0"/>
    <x v="14"/>
    <x v="0"/>
    <n v="11888"/>
    <n v="0.3"/>
    <n v="0.3"/>
    <n v="2.4"/>
    <n v="4.2"/>
    <n v="9.1999999999999993"/>
    <n v="11.2"/>
    <n v="20.3"/>
    <n v="27.1"/>
    <n v="14"/>
    <n v="11"/>
    <n v="0.5"/>
    <n v="7.33"/>
  </r>
  <r>
    <x v="0"/>
    <x v="14"/>
    <x v="1"/>
    <n v="6627"/>
    <n v="0.3"/>
    <n v="0.5"/>
    <n v="2.6"/>
    <n v="5"/>
    <n v="11.7"/>
    <n v="13.2"/>
    <n v="21.4"/>
    <n v="25.2"/>
    <n v="11.3"/>
    <n v="8.6999999999999993"/>
    <n v="0.5"/>
    <n v="7.069"/>
  </r>
  <r>
    <x v="0"/>
    <x v="14"/>
    <x v="2"/>
    <n v="5261"/>
    <n v="0.2"/>
    <n v="0.1"/>
    <n v="2.1"/>
    <n v="3.1"/>
    <n v="6"/>
    <n v="8.6999999999999993"/>
    <n v="18.8"/>
    <n v="29.6"/>
    <n v="17.2"/>
    <n v="14"/>
    <n v="0.5"/>
    <n v="7.6449999999999996"/>
  </r>
  <r>
    <x v="0"/>
    <x v="15"/>
    <x v="0"/>
    <n v="11916"/>
    <n v="1.1000000000000001"/>
    <n v="0.8"/>
    <n v="4.0999999999999996"/>
    <n v="5.8"/>
    <n v="9.6999999999999993"/>
    <n v="12"/>
    <n v="18.7"/>
    <n v="25.2"/>
    <n v="13"/>
    <n v="9.6"/>
    <n v="0.3"/>
    <n v="7.0419999999999998"/>
  </r>
  <r>
    <x v="0"/>
    <x v="15"/>
    <x v="1"/>
    <n v="6647"/>
    <n v="1.4"/>
    <n v="1.1000000000000001"/>
    <n v="5.7"/>
    <n v="7.5"/>
    <n v="13"/>
    <n v="15.2"/>
    <n v="20.3"/>
    <n v="20.8"/>
    <n v="8.9"/>
    <n v="6"/>
    <n v="0.2"/>
    <n v="6.5549999999999997"/>
  </r>
  <r>
    <x v="0"/>
    <x v="15"/>
    <x v="2"/>
    <n v="5269"/>
    <n v="0.6"/>
    <n v="0.3"/>
    <n v="2.1"/>
    <n v="3.6"/>
    <n v="5.7"/>
    <n v="7.9"/>
    <n v="16.5"/>
    <n v="30.7"/>
    <n v="18.3"/>
    <n v="14.2"/>
    <n v="0.4"/>
    <n v="7.6560000000000006"/>
  </r>
  <r>
    <x v="0"/>
    <x v="16"/>
    <x v="0"/>
    <n v="11918"/>
    <n v="1.4"/>
    <n v="1.9"/>
    <n v="5.3"/>
    <n v="7.3"/>
    <n v="11.2"/>
    <n v="11.9"/>
    <n v="14.9"/>
    <n v="20.7"/>
    <n v="14.5"/>
    <n v="10.9"/>
    <n v="0.3"/>
    <n v="6.8709999999999996"/>
  </r>
  <r>
    <x v="0"/>
    <x v="16"/>
    <x v="1"/>
    <n v="6653"/>
    <n v="1.8"/>
    <n v="2.2999999999999998"/>
    <n v="6.8"/>
    <n v="9.4"/>
    <n v="14.5"/>
    <n v="14"/>
    <n v="15.3"/>
    <n v="17"/>
    <n v="11.2"/>
    <n v="7.6"/>
    <n v="0.2"/>
    <n v="6.4080000000000004"/>
  </r>
  <r>
    <x v="0"/>
    <x v="16"/>
    <x v="2"/>
    <n v="5265"/>
    <n v="0.9"/>
    <n v="1.4"/>
    <n v="3.5"/>
    <n v="4.5999999999999996"/>
    <n v="7"/>
    <n v="9.1"/>
    <n v="14.4"/>
    <n v="25.3"/>
    <n v="18.8"/>
    <n v="15"/>
    <n v="0.5"/>
    <n v="7.4459999999999997"/>
  </r>
  <r>
    <x v="0"/>
    <x v="17"/>
    <x v="0"/>
    <n v="11896"/>
    <n v="0.5"/>
    <n v="0.4"/>
    <n v="2.4"/>
    <n v="5.0999999999999996"/>
    <n v="7.6"/>
    <n v="10.8"/>
    <n v="18"/>
    <n v="26.7"/>
    <n v="15.5"/>
    <n v="12.9"/>
    <n v="0.5"/>
    <n v="7.3980000000000006"/>
  </r>
  <r>
    <x v="0"/>
    <x v="17"/>
    <x v="1"/>
    <n v="6634"/>
    <n v="0.6"/>
    <n v="0.5"/>
    <n v="3.1"/>
    <n v="6.8"/>
    <n v="9.6"/>
    <n v="13.3"/>
    <n v="20.100000000000001"/>
    <n v="24.3"/>
    <n v="12.2"/>
    <n v="9.5"/>
    <n v="0.4"/>
    <n v="7.0580000000000007"/>
  </r>
  <r>
    <x v="0"/>
    <x v="17"/>
    <x v="2"/>
    <n v="5262"/>
    <n v="0.4"/>
    <n v="0.3"/>
    <n v="1.6"/>
    <n v="3.1"/>
    <n v="5.0999999999999996"/>
    <n v="7.7"/>
    <n v="15.4"/>
    <n v="29.8"/>
    <n v="19.7"/>
    <n v="17.100000000000001"/>
    <n v="0.5"/>
    <n v="7.8439999999999994"/>
  </r>
  <r>
    <x v="0"/>
    <x v="18"/>
    <x v="0"/>
    <n v="10133"/>
    <n v="8.1999999999999993"/>
    <n v="4.5"/>
    <n v="10.8"/>
    <n v="13.4"/>
    <n v="11.5"/>
    <n v="11.5"/>
    <n v="15.4"/>
    <n v="13.6"/>
    <n v="7.2"/>
    <n v="4"/>
    <n v="15.2"/>
    <n v="5.5110000000000001"/>
  </r>
  <r>
    <x v="0"/>
    <x v="18"/>
    <x v="1"/>
    <n v="5594"/>
    <n v="9.1"/>
    <n v="5.0999999999999996"/>
    <n v="11.4"/>
    <n v="14.7"/>
    <n v="11.8"/>
    <n v="11.3"/>
    <n v="15.8"/>
    <n v="12.2"/>
    <n v="5.3"/>
    <n v="3.3"/>
    <n v="16"/>
    <n v="5.28"/>
  </r>
  <r>
    <x v="0"/>
    <x v="18"/>
    <x v="2"/>
    <n v="4539"/>
    <n v="7.1"/>
    <n v="3.7"/>
    <n v="10.1"/>
    <n v="11.7"/>
    <n v="11.2"/>
    <n v="11.6"/>
    <n v="14.9"/>
    <n v="15.3"/>
    <n v="9.5"/>
    <n v="4.9000000000000004"/>
    <n v="14.2"/>
    <n v="5.7840000000000007"/>
  </r>
  <r>
    <x v="0"/>
    <x v="19"/>
    <x v="0"/>
    <n v="10179"/>
    <n v="10.9"/>
    <n v="5.8"/>
    <n v="11.6"/>
    <n v="9.1999999999999993"/>
    <n v="9.6999999999999993"/>
    <n v="8.1"/>
    <n v="12"/>
    <n v="13"/>
    <n v="9.6999999999999993"/>
    <n v="9.9"/>
    <n v="14.8"/>
    <n v="5.6550000000000002"/>
  </r>
  <r>
    <x v="0"/>
    <x v="19"/>
    <x v="1"/>
    <n v="5626"/>
    <n v="11.4"/>
    <n v="5.8"/>
    <n v="11.9"/>
    <n v="10.1"/>
    <n v="9.9"/>
    <n v="9"/>
    <n v="12.6"/>
    <n v="11.9"/>
    <n v="8.1"/>
    <n v="9.1"/>
    <n v="15.6"/>
    <n v="5.4989999999999997"/>
  </r>
  <r>
    <x v="0"/>
    <x v="19"/>
    <x v="2"/>
    <n v="4553"/>
    <n v="10.3"/>
    <n v="5.8"/>
    <n v="11.4"/>
    <n v="8.1999999999999993"/>
    <n v="9.5"/>
    <n v="6.9"/>
    <n v="11.2"/>
    <n v="14.4"/>
    <n v="11.6"/>
    <n v="10.9"/>
    <n v="13.9"/>
    <n v="5.8479999999999999"/>
  </r>
  <r>
    <x v="0"/>
    <x v="20"/>
    <x v="0"/>
    <n v="11879"/>
    <n v="0.3"/>
    <n v="0.5"/>
    <n v="1.4"/>
    <n v="4.7"/>
    <n v="8.3000000000000007"/>
    <n v="10.6"/>
    <n v="22"/>
    <n v="25.8"/>
    <n v="13.6"/>
    <n v="12.8"/>
    <n v="0.6"/>
    <n v="7.4020000000000001"/>
  </r>
  <r>
    <x v="0"/>
    <x v="20"/>
    <x v="1"/>
    <n v="6621"/>
    <n v="0.3"/>
    <n v="0.5"/>
    <n v="1.6"/>
    <n v="5.3"/>
    <n v="9.5"/>
    <n v="11.9"/>
    <n v="23"/>
    <n v="24.9"/>
    <n v="11.6"/>
    <n v="11.4"/>
    <n v="0.6"/>
    <n v="7.2479999999999993"/>
  </r>
  <r>
    <x v="0"/>
    <x v="20"/>
    <x v="2"/>
    <n v="5258"/>
    <n v="0.2"/>
    <n v="0.4"/>
    <n v="1.2"/>
    <n v="4"/>
    <n v="6.8"/>
    <n v="9"/>
    <n v="20.7"/>
    <n v="27"/>
    <n v="16.100000000000001"/>
    <n v="14.7"/>
    <n v="0.6"/>
    <n v="7.6139999999999999"/>
  </r>
  <r>
    <x v="0"/>
    <x v="21"/>
    <x v="0"/>
    <n v="11605"/>
    <n v="2.4"/>
    <n v="1.7"/>
    <n v="4.9000000000000004"/>
    <n v="8.5"/>
    <n v="12.4"/>
    <n v="14.4"/>
    <n v="21.4"/>
    <n v="20.2"/>
    <n v="8.8000000000000007"/>
    <n v="5.5"/>
    <n v="2.9"/>
    <n v="6.4849999999999994"/>
  </r>
  <r>
    <x v="0"/>
    <x v="21"/>
    <x v="1"/>
    <n v="6481"/>
    <n v="2.8"/>
    <n v="1.7"/>
    <n v="5.4"/>
    <n v="9.8000000000000007"/>
    <n v="13.5"/>
    <n v="15.6"/>
    <n v="20.8"/>
    <n v="18.600000000000001"/>
    <n v="7.2"/>
    <n v="4.5999999999999996"/>
    <n v="2.7"/>
    <n v="6.2789999999999999"/>
  </r>
  <r>
    <x v="0"/>
    <x v="21"/>
    <x v="2"/>
    <n v="5124"/>
    <n v="1.9"/>
    <n v="1.6"/>
    <n v="4.2"/>
    <n v="6.8"/>
    <n v="11"/>
    <n v="12.9"/>
    <n v="22.1"/>
    <n v="22.2"/>
    <n v="10.7"/>
    <n v="6.6"/>
    <n v="3.1"/>
    <n v="6.7190000000000003"/>
  </r>
  <r>
    <x v="0"/>
    <x v="22"/>
    <x v="0"/>
    <n v="11641"/>
    <n v="1.9"/>
    <n v="1.8"/>
    <n v="4.9000000000000004"/>
    <n v="7.8"/>
    <n v="13.3"/>
    <n v="14.6"/>
    <n v="21.5"/>
    <n v="19.5"/>
    <n v="9.3000000000000007"/>
    <n v="5.5"/>
    <n v="2.6"/>
    <n v="6.5069999999999988"/>
  </r>
  <r>
    <x v="0"/>
    <x v="22"/>
    <x v="1"/>
    <n v="6504"/>
    <n v="2.2000000000000002"/>
    <n v="1.8"/>
    <n v="5.7"/>
    <n v="8.6999999999999993"/>
    <n v="14.1"/>
    <n v="15.5"/>
    <n v="21.5"/>
    <n v="18.100000000000001"/>
    <n v="7.7"/>
    <n v="4.7"/>
    <n v="2.4"/>
    <n v="6.3279999999999994"/>
  </r>
  <r>
    <x v="0"/>
    <x v="22"/>
    <x v="2"/>
    <n v="5137"/>
    <n v="1.4"/>
    <n v="1.8"/>
    <n v="3.9"/>
    <n v="6.7"/>
    <n v="12.4"/>
    <n v="13.5"/>
    <n v="21.4"/>
    <n v="21.2"/>
    <n v="11.3"/>
    <n v="6.4"/>
    <n v="2.9"/>
    <n v="6.7159999999999993"/>
  </r>
  <r>
    <x v="0"/>
    <x v="23"/>
    <x v="0"/>
    <n v="11660"/>
    <n v="1.3"/>
    <n v="1.3"/>
    <n v="3.5"/>
    <n v="6.9"/>
    <n v="11.1"/>
    <n v="12.9"/>
    <n v="20.399999999999999"/>
    <n v="23"/>
    <n v="11.5"/>
    <n v="8"/>
    <n v="2.5"/>
    <n v="6.8520000000000003"/>
  </r>
  <r>
    <x v="0"/>
    <x v="23"/>
    <x v="1"/>
    <n v="6512"/>
    <n v="1.5"/>
    <n v="1.4"/>
    <n v="4.0999999999999996"/>
    <n v="7.9"/>
    <n v="11.9"/>
    <n v="13.7"/>
    <n v="20.8"/>
    <n v="21.7"/>
    <n v="10.1"/>
    <n v="6.7"/>
    <n v="2.2999999999999998"/>
    <n v="6.669999999999999"/>
  </r>
  <r>
    <x v="0"/>
    <x v="23"/>
    <x v="2"/>
    <n v="5148"/>
    <n v="1"/>
    <n v="1.2"/>
    <n v="2.7"/>
    <n v="5.7"/>
    <n v="10.1"/>
    <n v="11.8"/>
    <n v="19.899999999999999"/>
    <n v="24.7"/>
    <n v="13.3"/>
    <n v="9.6999999999999993"/>
    <n v="2.7"/>
    <n v="7.0919999999999996"/>
  </r>
  <r>
    <x v="0"/>
    <x v="24"/>
    <x v="0"/>
    <n v="11410"/>
    <n v="4"/>
    <n v="2.9"/>
    <n v="9.1"/>
    <n v="11.6"/>
    <n v="14"/>
    <n v="12.7"/>
    <n v="17.7"/>
    <n v="15.7"/>
    <n v="7.6"/>
    <n v="4.7"/>
    <n v="4.5"/>
    <n v="5.9459999999999997"/>
  </r>
  <r>
    <x v="0"/>
    <x v="24"/>
    <x v="1"/>
    <n v="6380"/>
    <n v="4"/>
    <n v="2.9"/>
    <n v="10.199999999999999"/>
    <n v="12.5"/>
    <n v="14.3"/>
    <n v="13.3"/>
    <n v="17.8"/>
    <n v="14.6"/>
    <n v="6.5"/>
    <n v="3.8"/>
    <n v="4.2"/>
    <n v="5.7960000000000003"/>
  </r>
  <r>
    <x v="0"/>
    <x v="24"/>
    <x v="2"/>
    <n v="5030"/>
    <n v="3.9"/>
    <n v="2.9"/>
    <n v="7.8"/>
    <n v="10.5"/>
    <n v="13.7"/>
    <n v="12"/>
    <n v="17.5"/>
    <n v="17.100000000000001"/>
    <n v="8.9"/>
    <n v="5.8"/>
    <n v="4.9000000000000004"/>
    <n v="6.13"/>
  </r>
  <r>
    <x v="0"/>
    <x v="25"/>
    <x v="0"/>
    <n v="11350"/>
    <n v="0.7"/>
    <n v="0.9"/>
    <n v="2.6"/>
    <n v="5.4"/>
    <n v="10.6"/>
    <n v="12"/>
    <n v="22.6"/>
    <n v="25.1"/>
    <n v="12.6"/>
    <n v="7.5"/>
    <n v="5"/>
    <n v="7.0429999999999993"/>
  </r>
  <r>
    <x v="0"/>
    <x v="25"/>
    <x v="1"/>
    <n v="6350"/>
    <n v="0.8"/>
    <n v="0.9"/>
    <n v="3.1"/>
    <n v="6"/>
    <n v="11.1"/>
    <n v="13"/>
    <n v="23.3"/>
    <n v="24.3"/>
    <n v="11.2"/>
    <n v="6.3"/>
    <n v="4.7"/>
    <n v="6.907"/>
  </r>
  <r>
    <x v="0"/>
    <x v="25"/>
    <x v="2"/>
    <n v="5000"/>
    <n v="0.7"/>
    <n v="0.8"/>
    <n v="2"/>
    <n v="4.7"/>
    <n v="10"/>
    <n v="10.8"/>
    <n v="21.6"/>
    <n v="26"/>
    <n v="14.3"/>
    <n v="9.1"/>
    <n v="5.5"/>
    <n v="7.2080000000000002"/>
  </r>
  <r>
    <x v="0"/>
    <x v="26"/>
    <x v="0"/>
    <n v="11397"/>
    <n v="0.8"/>
    <n v="1.2"/>
    <n v="2.9"/>
    <n v="7"/>
    <n v="10.9"/>
    <n v="11.7"/>
    <n v="19.2"/>
    <n v="23.7"/>
    <n v="11.8"/>
    <n v="10.7"/>
    <n v="4.7"/>
    <n v="7.0180000000000007"/>
  </r>
  <r>
    <x v="0"/>
    <x v="26"/>
    <x v="1"/>
    <n v="6370"/>
    <n v="0.8"/>
    <n v="1.3"/>
    <n v="3.2"/>
    <n v="7.4"/>
    <n v="12"/>
    <n v="12.4"/>
    <n v="19.5"/>
    <n v="23.4"/>
    <n v="10.4"/>
    <n v="9.5"/>
    <n v="4.4000000000000004"/>
    <n v="6.8929999999999998"/>
  </r>
  <r>
    <x v="0"/>
    <x v="26"/>
    <x v="2"/>
    <n v="5027"/>
    <n v="0.7"/>
    <n v="1.2"/>
    <n v="2.5"/>
    <n v="6.5"/>
    <n v="9.6"/>
    <n v="10.8"/>
    <n v="18.8"/>
    <n v="24.1"/>
    <n v="13.5"/>
    <n v="12.2"/>
    <n v="5"/>
    <n v="7.173"/>
  </r>
  <r>
    <x v="0"/>
    <x v="27"/>
    <x v="0"/>
    <n v="9912"/>
    <n v="0.5"/>
    <n v="0.5"/>
    <n v="1.6"/>
    <n v="3.6"/>
    <n v="7.2"/>
    <n v="8.5"/>
    <n v="18"/>
    <n v="28.1"/>
    <n v="16.7"/>
    <n v="15.3"/>
    <n v="17.100000000000001"/>
    <n v="7.6180000000000003"/>
  </r>
  <r>
    <x v="0"/>
    <x v="27"/>
    <x v="1"/>
    <n v="5493"/>
    <n v="0.6"/>
    <n v="0.6"/>
    <n v="1.7"/>
    <n v="4.0999999999999996"/>
    <n v="8"/>
    <n v="10.1"/>
    <n v="19.7"/>
    <n v="26.3"/>
    <n v="15.2"/>
    <n v="13.6"/>
    <n v="17.600000000000001"/>
    <n v="7.45"/>
  </r>
  <r>
    <x v="0"/>
    <x v="27"/>
    <x v="2"/>
    <n v="4419"/>
    <n v="0.3"/>
    <n v="0.3"/>
    <n v="1.4"/>
    <n v="2.9"/>
    <n v="6.2"/>
    <n v="6.6"/>
    <n v="16"/>
    <n v="30.3"/>
    <n v="18.600000000000001"/>
    <n v="17.399999999999999"/>
    <n v="16.5"/>
    <n v="7.8310000000000004"/>
  </r>
  <r>
    <x v="0"/>
    <x v="28"/>
    <x v="0"/>
    <n v="10417"/>
    <n v="0.5"/>
    <n v="0.6"/>
    <n v="2.2000000000000002"/>
    <n v="3.9"/>
    <n v="7.3"/>
    <n v="9.8000000000000007"/>
    <n v="18.899999999999999"/>
    <n v="26.3"/>
    <n v="16.2"/>
    <n v="14.3"/>
    <n v="12.9"/>
    <n v="7.5069999999999997"/>
  </r>
  <r>
    <x v="0"/>
    <x v="28"/>
    <x v="1"/>
    <n v="5785"/>
    <n v="0.6"/>
    <n v="0.7"/>
    <n v="2.6"/>
    <n v="4.7"/>
    <n v="7.8"/>
    <n v="11"/>
    <n v="20.2"/>
    <n v="24.5"/>
    <n v="14.9"/>
    <n v="13"/>
    <n v="13.2"/>
    <n v="7.351"/>
  </r>
  <r>
    <x v="0"/>
    <x v="28"/>
    <x v="2"/>
    <n v="4632"/>
    <n v="0.4"/>
    <n v="0.5"/>
    <n v="1.7"/>
    <n v="3"/>
    <n v="6.6"/>
    <n v="8.3000000000000007"/>
    <n v="17.2"/>
    <n v="28.6"/>
    <n v="17.899999999999999"/>
    <n v="15.8"/>
    <n v="12.4"/>
    <n v="7.6960000000000006"/>
  </r>
  <r>
    <x v="0"/>
    <x v="29"/>
    <x v="0"/>
    <n v="9682"/>
    <n v="0.4"/>
    <n v="0.5"/>
    <n v="2.1"/>
    <n v="4.2"/>
    <n v="7.7"/>
    <n v="10"/>
    <n v="19.399999999999999"/>
    <n v="26.6"/>
    <n v="17.100000000000001"/>
    <n v="12"/>
    <n v="19"/>
    <n v="7.455000000000001"/>
  </r>
  <r>
    <x v="0"/>
    <x v="29"/>
    <x v="1"/>
    <n v="5382"/>
    <n v="0.4"/>
    <n v="0.7"/>
    <n v="2.5"/>
    <n v="4.5999999999999996"/>
    <n v="8.4"/>
    <n v="10.8"/>
    <n v="20.8"/>
    <n v="25.4"/>
    <n v="15.8"/>
    <n v="10.6"/>
    <n v="19.2"/>
    <n v="7.3150000000000013"/>
  </r>
  <r>
    <x v="0"/>
    <x v="29"/>
    <x v="2"/>
    <n v="4300"/>
    <n v="0.2"/>
    <n v="0.4"/>
    <n v="1.7"/>
    <n v="3.7"/>
    <n v="6.8"/>
    <n v="9"/>
    <n v="17.7"/>
    <n v="28.1"/>
    <n v="18.7"/>
    <n v="13.7"/>
    <n v="18.7"/>
    <n v="7.6290000000000004"/>
  </r>
  <r>
    <x v="0"/>
    <x v="30"/>
    <x v="0"/>
    <n v="9484"/>
    <n v="0.4"/>
    <n v="0.6"/>
    <n v="2.1"/>
    <n v="4"/>
    <n v="8"/>
    <n v="10.7"/>
    <n v="18.8"/>
    <n v="26.3"/>
    <n v="16.399999999999999"/>
    <n v="12.7"/>
    <n v="20.7"/>
    <n v="7.4469999999999992"/>
  </r>
  <r>
    <x v="0"/>
    <x v="30"/>
    <x v="1"/>
    <n v="5284"/>
    <n v="0.6"/>
    <n v="0.6"/>
    <n v="2.2999999999999998"/>
    <n v="4.5"/>
    <n v="8.6999999999999993"/>
    <n v="11.7"/>
    <n v="19.2"/>
    <n v="25.6"/>
    <n v="15.2"/>
    <n v="11.5"/>
    <n v="20.7"/>
    <n v="7.3140000000000001"/>
  </r>
  <r>
    <x v="0"/>
    <x v="30"/>
    <x v="2"/>
    <n v="4200"/>
    <n v="0.2"/>
    <n v="0.6"/>
    <n v="1.8"/>
    <n v="3.5"/>
    <n v="7"/>
    <n v="9.3000000000000007"/>
    <n v="18.2"/>
    <n v="27.3"/>
    <n v="18"/>
    <n v="14"/>
    <n v="20.6"/>
    <n v="7.5939999999999994"/>
  </r>
  <r>
    <x v="0"/>
    <x v="31"/>
    <x v="0"/>
    <n v="10249"/>
    <n v="0.3"/>
    <n v="0.4"/>
    <n v="1.5"/>
    <n v="3.5"/>
    <n v="6.2"/>
    <n v="7.8"/>
    <n v="15.7"/>
    <n v="26.5"/>
    <n v="17.100000000000001"/>
    <n v="20.9"/>
    <n v="14.3"/>
    <n v="7.8219999999999992"/>
  </r>
  <r>
    <x v="0"/>
    <x v="31"/>
    <x v="1"/>
    <n v="5668"/>
    <n v="0.4"/>
    <n v="0.4"/>
    <n v="1.7"/>
    <n v="3.9"/>
    <n v="6.8"/>
    <n v="9"/>
    <n v="17.3"/>
    <n v="25.4"/>
    <n v="16.100000000000001"/>
    <n v="19.2"/>
    <n v="14.9"/>
    <n v="7.7110000000000003"/>
  </r>
  <r>
    <x v="0"/>
    <x v="31"/>
    <x v="2"/>
    <n v="4581"/>
    <n v="0.2"/>
    <n v="0.4"/>
    <n v="1.3"/>
    <n v="3.1"/>
    <n v="5.6"/>
    <n v="6.3"/>
    <n v="13.8"/>
    <n v="27.9"/>
    <n v="18.399999999999999"/>
    <n v="23.1"/>
    <n v="13.4"/>
    <n v="7.9949999999999992"/>
  </r>
  <r>
    <x v="0"/>
    <x v="32"/>
    <x v="0"/>
    <n v="10781"/>
    <n v="0.2"/>
    <n v="0.3"/>
    <n v="0.6"/>
    <n v="1.8"/>
    <n v="4.9000000000000004"/>
    <n v="6.7"/>
    <n v="13.5"/>
    <n v="24.3"/>
    <n v="18.3"/>
    <n v="29.3"/>
    <n v="9.8000000000000007"/>
    <n v="8.2110000000000003"/>
  </r>
  <r>
    <x v="0"/>
    <x v="32"/>
    <x v="1"/>
    <n v="5954"/>
    <n v="0.2"/>
    <n v="0.3"/>
    <n v="0.8"/>
    <n v="2.2000000000000002"/>
    <n v="5.4"/>
    <n v="7.9"/>
    <n v="14.7"/>
    <n v="24.2"/>
    <n v="17.3"/>
    <n v="27"/>
    <n v="10.6"/>
    <n v="8.0860000000000003"/>
  </r>
  <r>
    <x v="0"/>
    <x v="32"/>
    <x v="2"/>
    <n v="4827"/>
    <n v="0.2"/>
    <n v="0.2"/>
    <n v="0.4"/>
    <n v="1.3"/>
    <n v="4.2"/>
    <n v="5.2"/>
    <n v="12.1"/>
    <n v="24.4"/>
    <n v="19.600000000000001"/>
    <n v="32.200000000000003"/>
    <n v="8.8000000000000007"/>
    <n v="8.375"/>
  </r>
  <r>
    <x v="0"/>
    <x v="33"/>
    <x v="0"/>
    <n v="9963"/>
    <n v="0.3"/>
    <n v="0.2"/>
    <n v="1"/>
    <n v="2.7"/>
    <n v="6"/>
    <n v="9.6999999999999993"/>
    <n v="18.2"/>
    <n v="27.4"/>
    <n v="17.7"/>
    <n v="16.8"/>
    <n v="16.600000000000001"/>
    <n v="7.766"/>
  </r>
  <r>
    <x v="0"/>
    <x v="33"/>
    <x v="1"/>
    <n v="5530"/>
    <n v="0.3"/>
    <n v="0.3"/>
    <n v="1.3"/>
    <n v="3.1"/>
    <n v="6.3"/>
    <n v="10.8"/>
    <n v="19"/>
    <n v="27"/>
    <n v="16.5"/>
    <n v="15.5"/>
    <n v="17"/>
    <n v="7.66"/>
  </r>
  <r>
    <x v="0"/>
    <x v="33"/>
    <x v="2"/>
    <n v="4433"/>
    <n v="0.4"/>
    <n v="0.2"/>
    <n v="0.7"/>
    <n v="2.2000000000000002"/>
    <n v="5.6"/>
    <n v="8.1999999999999993"/>
    <n v="17.2"/>
    <n v="28"/>
    <n v="19.100000000000001"/>
    <n v="18.5"/>
    <n v="16.2"/>
    <n v="7.902000000000001"/>
  </r>
  <r>
    <x v="0"/>
    <x v="34"/>
    <x v="0"/>
    <n v="9757"/>
    <n v="0.5"/>
    <n v="0.4"/>
    <n v="2.6"/>
    <n v="4.3"/>
    <n v="8.3000000000000007"/>
    <n v="11.7"/>
    <n v="19.2"/>
    <n v="25.6"/>
    <n v="14.7"/>
    <n v="12.7"/>
    <n v="18.399999999999999"/>
    <n v="7.3650000000000002"/>
  </r>
  <r>
    <x v="0"/>
    <x v="34"/>
    <x v="1"/>
    <n v="5434"/>
    <n v="0.6"/>
    <n v="0.5"/>
    <n v="2.7"/>
    <n v="4.5"/>
    <n v="8.6"/>
    <n v="12.4"/>
    <n v="20.100000000000001"/>
    <n v="25.1"/>
    <n v="13.9"/>
    <n v="11.6"/>
    <n v="18.399999999999999"/>
    <n v="7.277000000000001"/>
  </r>
  <r>
    <x v="0"/>
    <x v="34"/>
    <x v="2"/>
    <n v="4323"/>
    <n v="0.4"/>
    <n v="0.4"/>
    <n v="2.2999999999999998"/>
    <n v="4.0999999999999996"/>
    <n v="8"/>
    <n v="10.7"/>
    <n v="18"/>
    <n v="26.2"/>
    <n v="15.8"/>
    <n v="14.1"/>
    <n v="18.3"/>
    <n v="7.4749999999999996"/>
  </r>
  <r>
    <x v="0"/>
    <x v="35"/>
    <x v="0"/>
    <n v="10418"/>
    <n v="0.9"/>
    <n v="0.5"/>
    <n v="1.9"/>
    <n v="3.9"/>
    <n v="8.1999999999999993"/>
    <n v="11.1"/>
    <n v="20.8"/>
    <n v="27.8"/>
    <n v="14.9"/>
    <n v="9.9"/>
    <n v="12.8"/>
    <n v="7.319"/>
  </r>
  <r>
    <x v="0"/>
    <x v="35"/>
    <x v="1"/>
    <n v="5819"/>
    <n v="1"/>
    <n v="0.5"/>
    <n v="2.2000000000000002"/>
    <n v="4.3"/>
    <n v="8.8000000000000007"/>
    <n v="12.7"/>
    <n v="21.4"/>
    <n v="26.3"/>
    <n v="13.6"/>
    <n v="9.1999999999999993"/>
    <n v="12.7"/>
    <n v="7.2059999999999995"/>
  </r>
  <r>
    <x v="0"/>
    <x v="35"/>
    <x v="2"/>
    <n v="4599"/>
    <n v="0.9"/>
    <n v="0.3"/>
    <n v="1.6"/>
    <n v="3.4"/>
    <n v="7.5"/>
    <n v="9"/>
    <n v="20"/>
    <n v="29.8"/>
    <n v="16.7"/>
    <n v="10.8"/>
    <n v="13.1"/>
    <n v="7.4809999999999999"/>
  </r>
  <r>
    <x v="0"/>
    <x v="36"/>
    <x v="0"/>
    <n v="10657"/>
    <n v="0.5"/>
    <n v="0.6"/>
    <n v="1.9"/>
    <n v="3.9"/>
    <n v="9.5"/>
    <n v="11.4"/>
    <n v="21.8"/>
    <n v="26.3"/>
    <n v="15.1"/>
    <n v="8.9"/>
    <n v="10.8"/>
    <n v="7.2679999999999998"/>
  </r>
  <r>
    <x v="0"/>
    <x v="36"/>
    <x v="1"/>
    <n v="5909"/>
    <n v="0.5"/>
    <n v="0.7"/>
    <n v="2.1"/>
    <n v="4.5"/>
    <n v="9.9"/>
    <n v="12.6"/>
    <n v="22.7"/>
    <n v="25.2"/>
    <n v="14"/>
    <n v="7.8"/>
    <n v="11.3"/>
    <n v="7.1580000000000004"/>
  </r>
  <r>
    <x v="0"/>
    <x v="36"/>
    <x v="2"/>
    <n v="4748"/>
    <n v="0.4"/>
    <n v="0.5"/>
    <n v="1.6"/>
    <n v="3.2"/>
    <n v="9"/>
    <n v="9.9"/>
    <n v="20.8"/>
    <n v="27.8"/>
    <n v="16.399999999999999"/>
    <n v="10.3"/>
    <n v="10.199999999999999"/>
    <n v="7.42"/>
  </r>
  <r>
    <x v="0"/>
    <x v="37"/>
    <x v="0"/>
    <n v="10825"/>
    <n v="0.8"/>
    <n v="0.9"/>
    <n v="1.8"/>
    <n v="4.7"/>
    <n v="9.8000000000000007"/>
    <n v="11.5"/>
    <n v="20.7"/>
    <n v="25.1"/>
    <n v="14.3"/>
    <n v="10.3"/>
    <n v="9.4"/>
    <n v="7.2220000000000004"/>
  </r>
  <r>
    <x v="0"/>
    <x v="37"/>
    <x v="1"/>
    <n v="6015"/>
    <n v="0.9"/>
    <n v="0.9"/>
    <n v="2"/>
    <n v="5.5"/>
    <n v="10.199999999999999"/>
    <n v="12.6"/>
    <n v="21.4"/>
    <n v="24"/>
    <n v="13.3"/>
    <n v="9.1999999999999993"/>
    <n v="9.6999999999999993"/>
    <n v="7.1079999999999997"/>
  </r>
  <r>
    <x v="0"/>
    <x v="37"/>
    <x v="2"/>
    <n v="4810"/>
    <n v="0.7"/>
    <n v="0.9"/>
    <n v="1.5"/>
    <n v="3.7"/>
    <n v="9.4"/>
    <n v="10.1"/>
    <n v="19.899999999999999"/>
    <n v="26.4"/>
    <n v="15.6"/>
    <n v="11.7"/>
    <n v="9.1"/>
    <n v="7.3729999999999993"/>
  </r>
  <r>
    <x v="0"/>
    <x v="38"/>
    <x v="0"/>
    <n v="11441"/>
    <n v="0.2"/>
    <n v="0.6"/>
    <n v="1.8"/>
    <n v="3.6"/>
    <n v="8.1999999999999993"/>
    <n v="9.4"/>
    <n v="20.3"/>
    <n v="27.2"/>
    <n v="15.9"/>
    <n v="12.9"/>
    <n v="4.3"/>
    <n v="7.5040000000000004"/>
  </r>
  <r>
    <x v="0"/>
    <x v="38"/>
    <x v="1"/>
    <n v="6376"/>
    <n v="0.2"/>
    <n v="0.7"/>
    <n v="1.9"/>
    <n v="4.0999999999999996"/>
    <n v="8.1999999999999993"/>
    <n v="10.3"/>
    <n v="21.5"/>
    <n v="26.3"/>
    <n v="14.9"/>
    <n v="12"/>
    <n v="4.3"/>
    <n v="7.4150000000000009"/>
  </r>
  <r>
    <x v="0"/>
    <x v="38"/>
    <x v="2"/>
    <n v="5065"/>
    <n v="0.2"/>
    <n v="0.4"/>
    <n v="1.7"/>
    <n v="2.9"/>
    <n v="8.1999999999999993"/>
    <n v="8.1"/>
    <n v="18.7"/>
    <n v="28.5"/>
    <n v="17.2"/>
    <n v="14.1"/>
    <n v="4.3"/>
    <n v="7.62"/>
  </r>
  <r>
    <x v="0"/>
    <x v="39"/>
    <x v="0"/>
    <n v="10325"/>
    <n v="0.5"/>
    <n v="0.4"/>
    <n v="0.8"/>
    <n v="2.9"/>
    <n v="7.7"/>
    <n v="9.4"/>
    <n v="19.5"/>
    <n v="27.7"/>
    <n v="16.8"/>
    <n v="14.4"/>
    <n v="13.6"/>
    <n v="7.6349999999999998"/>
  </r>
  <r>
    <x v="0"/>
    <x v="39"/>
    <x v="1"/>
    <n v="5730"/>
    <n v="0.4"/>
    <n v="0.3"/>
    <n v="0.9"/>
    <n v="3.3"/>
    <n v="8.1"/>
    <n v="10.1"/>
    <n v="20.8"/>
    <n v="26.7"/>
    <n v="15.9"/>
    <n v="13.3"/>
    <n v="14"/>
    <n v="7.5330000000000004"/>
  </r>
  <r>
    <x v="0"/>
    <x v="39"/>
    <x v="2"/>
    <n v="4595"/>
    <n v="0.5"/>
    <n v="0.4"/>
    <n v="0.6"/>
    <n v="2.4"/>
    <n v="7.1"/>
    <n v="8.5"/>
    <n v="18"/>
    <n v="28.9"/>
    <n v="18"/>
    <n v="15.6"/>
    <n v="13.1"/>
    <n v="7.7439999999999998"/>
  </r>
  <r>
    <x v="0"/>
    <x v="40"/>
    <x v="0"/>
    <n v="9876"/>
    <n v="0.4"/>
    <n v="0.2"/>
    <n v="1.3"/>
    <n v="3.5"/>
    <n v="9.5"/>
    <n v="11.9"/>
    <n v="21.4"/>
    <n v="26.6"/>
    <n v="15.4"/>
    <n v="9.8000000000000007"/>
    <n v="17.399999999999999"/>
    <n v="7.3680000000000003"/>
  </r>
  <r>
    <x v="0"/>
    <x v="40"/>
    <x v="1"/>
    <n v="5455"/>
    <n v="0.3"/>
    <n v="0.2"/>
    <n v="1.5"/>
    <n v="4"/>
    <n v="10.3"/>
    <n v="12.9"/>
    <n v="22.3"/>
    <n v="25.6"/>
    <n v="14.3"/>
    <n v="8.5"/>
    <n v="18.100000000000001"/>
    <n v="7.246999999999999"/>
  </r>
  <r>
    <x v="0"/>
    <x v="40"/>
    <x v="2"/>
    <n v="4421"/>
    <n v="0.5"/>
    <n v="0.2"/>
    <n v="0.9"/>
    <n v="2.9"/>
    <n v="8.5"/>
    <n v="10.6"/>
    <n v="20.3"/>
    <n v="27.8"/>
    <n v="16.600000000000001"/>
    <n v="11.4"/>
    <n v="16.399999999999999"/>
    <n v="7.492"/>
  </r>
  <r>
    <x v="0"/>
    <x v="41"/>
    <x v="0"/>
    <n v="10883"/>
    <n v="2"/>
    <n v="1.2"/>
    <n v="5.6"/>
    <n v="8"/>
    <n v="13.3"/>
    <n v="13.4"/>
    <n v="20.9"/>
    <n v="20.2"/>
    <n v="10"/>
    <n v="5.3"/>
    <n v="9"/>
    <n v="6.5100000000000007"/>
  </r>
  <r>
    <x v="0"/>
    <x v="41"/>
    <x v="1"/>
    <n v="6099"/>
    <n v="2.2000000000000002"/>
    <n v="1.3"/>
    <n v="6"/>
    <n v="8.6"/>
    <n v="14.3"/>
    <n v="14.1"/>
    <n v="21.2"/>
    <n v="18.5"/>
    <n v="9.1999999999999993"/>
    <n v="4.7"/>
    <n v="8.5"/>
    <n v="6.3949999999999996"/>
  </r>
  <r>
    <x v="0"/>
    <x v="41"/>
    <x v="2"/>
    <n v="4784"/>
    <n v="1.8"/>
    <n v="1.1000000000000001"/>
    <n v="5.2"/>
    <n v="7.1"/>
    <n v="12"/>
    <n v="12.5"/>
    <n v="20.6"/>
    <n v="22.4"/>
    <n v="11.1"/>
    <n v="6.1"/>
    <n v="9.6"/>
    <n v="6.673"/>
  </r>
  <r>
    <x v="0"/>
    <x v="42"/>
    <x v="0"/>
    <n v="10897"/>
    <n v="0.6"/>
    <n v="0.7"/>
    <n v="3.1"/>
    <n v="6"/>
    <n v="10.5"/>
    <n v="11.6"/>
    <n v="19.899999999999999"/>
    <n v="24.9"/>
    <n v="13.6"/>
    <n v="9.3000000000000007"/>
    <n v="8.8000000000000007"/>
    <n v="7.1129999999999995"/>
  </r>
  <r>
    <x v="0"/>
    <x v="42"/>
    <x v="1"/>
    <n v="6109"/>
    <n v="0.6"/>
    <n v="0.7"/>
    <n v="3"/>
    <n v="6.5"/>
    <n v="11.7"/>
    <n v="12.4"/>
    <n v="20.6"/>
    <n v="23.2"/>
    <n v="12.7"/>
    <n v="8.6"/>
    <n v="8.3000000000000007"/>
    <n v="7"/>
  </r>
  <r>
    <x v="0"/>
    <x v="42"/>
    <x v="2"/>
    <n v="4788"/>
    <n v="0.5"/>
    <n v="0.6"/>
    <n v="3.2"/>
    <n v="5.3"/>
    <n v="9"/>
    <n v="10.6"/>
    <n v="19"/>
    <n v="27"/>
    <n v="14.7"/>
    <n v="10.1"/>
    <n v="9.5"/>
    <n v="7.2339999999999991"/>
  </r>
  <r>
    <x v="0"/>
    <x v="43"/>
    <x v="0"/>
    <n v="10875"/>
    <n v="0.3"/>
    <n v="0.7"/>
    <n v="2.7"/>
    <n v="6"/>
    <n v="10.4"/>
    <n v="10.199999999999999"/>
    <n v="19"/>
    <n v="25.4"/>
    <n v="13.5"/>
    <n v="11.9"/>
    <n v="9"/>
    <n v="7.2370000000000001"/>
  </r>
  <r>
    <x v="0"/>
    <x v="43"/>
    <x v="1"/>
    <n v="6086"/>
    <n v="0.3"/>
    <n v="0.6"/>
    <n v="2.6"/>
    <n v="6.5"/>
    <n v="11.6"/>
    <n v="10.6"/>
    <n v="19.600000000000001"/>
    <n v="23.7"/>
    <n v="13.1"/>
    <n v="11.3"/>
    <n v="8.6999999999999993"/>
    <n v="7.1459999999999999"/>
  </r>
  <r>
    <x v="0"/>
    <x v="43"/>
    <x v="2"/>
    <n v="4789"/>
    <n v="0.4"/>
    <n v="0.8"/>
    <n v="2.8"/>
    <n v="5.3"/>
    <n v="8.9"/>
    <n v="9.6"/>
    <n v="18.2"/>
    <n v="27.5"/>
    <n v="14.1"/>
    <n v="12.6"/>
    <n v="9.5"/>
    <n v="7.34"/>
  </r>
  <r>
    <x v="0"/>
    <x v="44"/>
    <x v="0"/>
    <n v="11451"/>
    <n v="0.7"/>
    <n v="0.8"/>
    <n v="1.3"/>
    <n v="2.8"/>
    <n v="5.4"/>
    <n v="7.8"/>
    <n v="15.5"/>
    <n v="26.6"/>
    <n v="17.7"/>
    <n v="21.4"/>
    <n v="4.2"/>
    <n v="7.8580000000000005"/>
  </r>
  <r>
    <x v="0"/>
    <x v="44"/>
    <x v="1"/>
    <n v="6392"/>
    <n v="0.7"/>
    <n v="0.8"/>
    <n v="1.4"/>
    <n v="3.2"/>
    <n v="5.6"/>
    <n v="8.6999999999999993"/>
    <n v="16.600000000000001"/>
    <n v="26.3"/>
    <n v="17"/>
    <n v="19.8"/>
    <n v="4.0999999999999996"/>
    <n v="7.7710000000000008"/>
  </r>
  <r>
    <x v="0"/>
    <x v="44"/>
    <x v="2"/>
    <n v="5059"/>
    <n v="0.7"/>
    <n v="0.7"/>
    <n v="1.2"/>
    <n v="2.4"/>
    <n v="5.2"/>
    <n v="6.6"/>
    <n v="14.2"/>
    <n v="26.9"/>
    <n v="18.7"/>
    <n v="23.4"/>
    <n v="4.4000000000000004"/>
    <n v="7.9779999999999998"/>
  </r>
  <r>
    <x v="1"/>
    <x v="0"/>
    <x v="0"/>
    <n v="11893"/>
    <n v="0"/>
    <n v="0"/>
    <n v="0.1"/>
    <n v="2"/>
    <n v="4.8"/>
    <n v="11.3"/>
    <n v="39.6"/>
    <n v="18.100000000000001"/>
    <n v="11.9"/>
    <n v="12"/>
    <n v="0.3"/>
    <n v="7.492"/>
  </r>
  <r>
    <x v="1"/>
    <x v="0"/>
    <x v="1"/>
    <n v="6368"/>
    <n v="0"/>
    <n v="0"/>
    <n v="0.1"/>
    <n v="2"/>
    <n v="5.3"/>
    <n v="13"/>
    <n v="37.299999999999997"/>
    <n v="19.399999999999999"/>
    <n v="11.4"/>
    <n v="11.4"/>
    <n v="0.3"/>
    <n v="7.456999999999999"/>
  </r>
  <r>
    <x v="1"/>
    <x v="0"/>
    <x v="2"/>
    <n v="5525"/>
    <n v="0"/>
    <n v="0"/>
    <n v="0.1"/>
    <n v="2.1"/>
    <n v="4.2"/>
    <n v="9.4"/>
    <n v="42.3"/>
    <n v="16.7"/>
    <n v="12.5"/>
    <n v="12.7"/>
    <n v="0.3"/>
    <n v="7.552999999999999"/>
  </r>
  <r>
    <x v="1"/>
    <x v="1"/>
    <x v="0"/>
    <n v="11896"/>
    <n v="0.1"/>
    <n v="0.1"/>
    <n v="0.4"/>
    <n v="2.9"/>
    <n v="6.2"/>
    <n v="11.2"/>
    <n v="26.7"/>
    <n v="25.8"/>
    <n v="16"/>
    <n v="10.7"/>
    <n v="0.3"/>
    <n v="7.5560000000000009"/>
  </r>
  <r>
    <x v="1"/>
    <x v="1"/>
    <x v="1"/>
    <n v="6368"/>
    <n v="0.1"/>
    <n v="0"/>
    <n v="0.4"/>
    <n v="2.6"/>
    <n v="6.8"/>
    <n v="12.4"/>
    <n v="26.9"/>
    <n v="26"/>
    <n v="15.3"/>
    <n v="9.4"/>
    <n v="0.3"/>
    <n v="7.4809999999999999"/>
  </r>
  <r>
    <x v="1"/>
    <x v="1"/>
    <x v="2"/>
    <n v="5528"/>
    <n v="0"/>
    <n v="0.1"/>
    <n v="0.3"/>
    <n v="3.3"/>
    <n v="5.6"/>
    <n v="9.6999999999999993"/>
    <n v="26.4"/>
    <n v="25.5"/>
    <n v="16.899999999999999"/>
    <n v="12.2"/>
    <n v="0.3"/>
    <n v="7.6339999999999995"/>
  </r>
  <r>
    <x v="1"/>
    <x v="2"/>
    <x v="0"/>
    <n v="11913"/>
    <n v="0.4"/>
    <n v="0.5"/>
    <n v="2.2000000000000002"/>
    <n v="5.0999999999999996"/>
    <n v="8.4"/>
    <n v="11.5"/>
    <n v="22.6"/>
    <n v="24.3"/>
    <n v="14.8"/>
    <n v="10.1"/>
    <n v="0.2"/>
    <n v="7.2619999999999996"/>
  </r>
  <r>
    <x v="1"/>
    <x v="2"/>
    <x v="1"/>
    <n v="6377"/>
    <n v="0.5"/>
    <n v="0.5"/>
    <n v="2.2999999999999998"/>
    <n v="5.2"/>
    <n v="8.6999999999999993"/>
    <n v="12.5"/>
    <n v="23.2"/>
    <n v="24"/>
    <n v="14"/>
    <n v="9.1"/>
    <n v="0.2"/>
    <n v="7.1909999999999998"/>
  </r>
  <r>
    <x v="1"/>
    <x v="2"/>
    <x v="2"/>
    <n v="5536"/>
    <n v="0.4"/>
    <n v="0.4"/>
    <n v="2.1"/>
    <n v="4.9000000000000004"/>
    <n v="8.1"/>
    <n v="10.5"/>
    <n v="21.9"/>
    <n v="24.6"/>
    <n v="15.7"/>
    <n v="11.3"/>
    <n v="0.1"/>
    <n v="7.3500000000000005"/>
  </r>
  <r>
    <x v="1"/>
    <x v="3"/>
    <x v="0"/>
    <n v="11504"/>
    <n v="0.1"/>
    <n v="0.1"/>
    <n v="0.3"/>
    <n v="5.7"/>
    <n v="9.8000000000000007"/>
    <n v="15.9"/>
    <n v="34.799999999999997"/>
    <n v="17.2"/>
    <n v="10.1"/>
    <n v="6.1"/>
    <n v="3.6"/>
    <n v="7.0149999999999988"/>
  </r>
  <r>
    <x v="1"/>
    <x v="3"/>
    <x v="1"/>
    <n v="6160"/>
    <n v="0.1"/>
    <n v="0.1"/>
    <n v="0.4"/>
    <n v="6"/>
    <n v="10"/>
    <n v="16.8"/>
    <n v="34.200000000000003"/>
    <n v="17.7"/>
    <n v="9.4"/>
    <n v="5.3"/>
    <n v="3.6"/>
    <n v="6.9490000000000007"/>
  </r>
  <r>
    <x v="1"/>
    <x v="3"/>
    <x v="2"/>
    <n v="5344"/>
    <n v="0"/>
    <n v="0.1"/>
    <n v="0.2"/>
    <n v="5.3"/>
    <n v="9.4"/>
    <n v="14.9"/>
    <n v="35.4"/>
    <n v="16.8"/>
    <n v="11"/>
    <n v="6.9"/>
    <n v="3.6"/>
    <n v="7.0860000000000003"/>
  </r>
  <r>
    <x v="1"/>
    <x v="45"/>
    <x v="0"/>
    <n v="9740"/>
    <n v="0.2"/>
    <n v="0.1"/>
    <n v="0.9"/>
    <n v="2"/>
    <n v="5.2"/>
    <n v="7.6"/>
    <n v="18.899999999999999"/>
    <n v="31.8"/>
    <n v="17.399999999999999"/>
    <n v="15.8"/>
    <n v="18.399999999999999"/>
    <n v="7.839999999999999"/>
  </r>
  <r>
    <x v="1"/>
    <x v="45"/>
    <x v="1"/>
    <n v="5161"/>
    <n v="0.3"/>
    <n v="0.1"/>
    <n v="0.9"/>
    <n v="2"/>
    <n v="5.5"/>
    <n v="8.1999999999999993"/>
    <n v="19.3"/>
    <n v="32.200000000000003"/>
    <n v="16.8"/>
    <n v="14.7"/>
    <n v="19.2"/>
    <n v="7.7880000000000003"/>
  </r>
  <r>
    <x v="1"/>
    <x v="45"/>
    <x v="2"/>
    <n v="4579"/>
    <n v="0.2"/>
    <n v="0.1"/>
    <n v="0.9"/>
    <n v="2.1"/>
    <n v="4.8"/>
    <n v="7"/>
    <n v="18.399999999999999"/>
    <n v="31.4"/>
    <n v="18"/>
    <n v="17.100000000000001"/>
    <n v="17.399999999999999"/>
    <n v="7.9049999999999994"/>
  </r>
  <r>
    <x v="1"/>
    <x v="46"/>
    <x v="0"/>
    <n v="11892"/>
    <n v="0.1"/>
    <n v="0"/>
    <n v="0.3"/>
    <n v="1"/>
    <n v="1.8"/>
    <n v="3.5"/>
    <n v="10.1"/>
    <n v="24.5"/>
    <n v="22.2"/>
    <n v="36.5"/>
    <n v="0.4"/>
    <n v="8.6649999999999991"/>
  </r>
  <r>
    <x v="1"/>
    <x v="46"/>
    <x v="1"/>
    <n v="6366"/>
    <n v="0.1"/>
    <n v="0.1"/>
    <n v="0.4"/>
    <n v="1.1000000000000001"/>
    <n v="1.9"/>
    <n v="4.0999999999999996"/>
    <n v="10.8"/>
    <n v="25.4"/>
    <n v="22.6"/>
    <n v="33.6"/>
    <n v="0.4"/>
    <n v="8.5820000000000007"/>
  </r>
  <r>
    <x v="1"/>
    <x v="46"/>
    <x v="2"/>
    <n v="5526"/>
    <n v="0.1"/>
    <n v="0"/>
    <n v="0.1"/>
    <n v="0.9"/>
    <n v="1.6"/>
    <n v="2.8"/>
    <n v="9.1999999999999993"/>
    <n v="23.5"/>
    <n v="21.8"/>
    <n v="40"/>
    <n v="0.3"/>
    <n v="8.7740000000000009"/>
  </r>
  <r>
    <x v="1"/>
    <x v="47"/>
    <x v="0"/>
    <n v="11753"/>
    <n v="0.1"/>
    <n v="0.1"/>
    <n v="0.5"/>
    <n v="1.7"/>
    <n v="2.6"/>
    <n v="4.4000000000000004"/>
    <n v="10.8"/>
    <n v="25.5"/>
    <n v="21.8"/>
    <n v="32.4"/>
    <n v="1.5"/>
    <n v="8.4780000000000015"/>
  </r>
  <r>
    <x v="1"/>
    <x v="47"/>
    <x v="1"/>
    <n v="6285"/>
    <n v="0.2"/>
    <n v="0.2"/>
    <n v="0.6"/>
    <n v="1.7"/>
    <n v="2.8"/>
    <n v="5.0999999999999996"/>
    <n v="11.8"/>
    <n v="26.2"/>
    <n v="21.7"/>
    <n v="30"/>
    <n v="1.6"/>
    <n v="8.4130000000000003"/>
  </r>
  <r>
    <x v="1"/>
    <x v="47"/>
    <x v="2"/>
    <n v="5468"/>
    <n v="0.1"/>
    <n v="0"/>
    <n v="0.4"/>
    <n v="1.6"/>
    <n v="2.5"/>
    <n v="3.6"/>
    <n v="9.6999999999999993"/>
    <n v="24.8"/>
    <n v="22"/>
    <n v="35.299999999999997"/>
    <n v="1.4"/>
    <n v="8.5909999999999993"/>
  </r>
  <r>
    <x v="1"/>
    <x v="48"/>
    <x v="0"/>
    <n v="9475"/>
    <n v="0.3"/>
    <n v="0.2"/>
    <n v="0.6"/>
    <n v="1.9"/>
    <n v="3"/>
    <n v="5.2"/>
    <n v="12.6"/>
    <n v="26.7"/>
    <n v="20.2"/>
    <n v="29.2"/>
    <n v="20.6"/>
    <n v="8.3189999999999991"/>
  </r>
  <r>
    <x v="1"/>
    <x v="48"/>
    <x v="1"/>
    <n v="5047"/>
    <n v="0.4"/>
    <n v="0.2"/>
    <n v="0.5"/>
    <n v="2"/>
    <n v="3.2"/>
    <n v="6"/>
    <n v="13.4"/>
    <n v="26.6"/>
    <n v="20.100000000000001"/>
    <n v="27.6"/>
    <n v="21"/>
    <n v="8.2579999999999991"/>
  </r>
  <r>
    <x v="1"/>
    <x v="48"/>
    <x v="2"/>
    <n v="4428"/>
    <n v="0.2"/>
    <n v="0.2"/>
    <n v="0.7"/>
    <n v="1.7"/>
    <n v="2.8"/>
    <n v="4.3"/>
    <n v="11.6"/>
    <n v="26.9"/>
    <n v="20.399999999999999"/>
    <n v="31.1"/>
    <n v="20.100000000000001"/>
    <n v="8.4029999999999987"/>
  </r>
  <r>
    <x v="1"/>
    <x v="49"/>
    <x v="0"/>
    <n v="11720"/>
    <n v="0"/>
    <n v="0.1"/>
    <n v="0.2"/>
    <n v="4"/>
    <n v="8.6999999999999993"/>
    <n v="14.4"/>
    <n v="37.1"/>
    <n v="18.3"/>
    <n v="10.5"/>
    <n v="6.6"/>
    <n v="1.8"/>
    <n v="7.1330000000000009"/>
  </r>
  <r>
    <x v="1"/>
    <x v="49"/>
    <x v="1"/>
    <n v="6285"/>
    <n v="0"/>
    <n v="0.1"/>
    <n v="0.3"/>
    <n v="4.2"/>
    <n v="9.5"/>
    <n v="14.6"/>
    <n v="36.700000000000003"/>
    <n v="19"/>
    <n v="9.8000000000000007"/>
    <n v="5.7"/>
    <n v="1.6"/>
    <n v="7.0709999999999997"/>
  </r>
  <r>
    <x v="1"/>
    <x v="49"/>
    <x v="2"/>
    <n v="5435"/>
    <n v="0"/>
    <n v="0.1"/>
    <n v="0.2"/>
    <n v="3.9"/>
    <n v="7.8"/>
    <n v="14"/>
    <n v="37.6"/>
    <n v="17.600000000000001"/>
    <n v="11.2"/>
    <n v="7.6"/>
    <n v="2"/>
    <n v="7.202"/>
  </r>
  <r>
    <x v="1"/>
    <x v="50"/>
    <x v="0"/>
    <n v="11835"/>
    <n v="0.1"/>
    <n v="0.1"/>
    <n v="0.4"/>
    <n v="1.6"/>
    <n v="3.2"/>
    <n v="5.4"/>
    <n v="16.5"/>
    <n v="26.5"/>
    <n v="22"/>
    <n v="24.4"/>
    <n v="0.8"/>
    <n v="8.2579999999999991"/>
  </r>
  <r>
    <x v="1"/>
    <x v="50"/>
    <x v="1"/>
    <n v="6334"/>
    <n v="0"/>
    <n v="0.1"/>
    <n v="0.4"/>
    <n v="1.5"/>
    <n v="3.6"/>
    <n v="5.8"/>
    <n v="17"/>
    <n v="27.8"/>
    <n v="21.6"/>
    <n v="22.2"/>
    <n v="0.9"/>
    <n v="8.18"/>
  </r>
  <r>
    <x v="1"/>
    <x v="50"/>
    <x v="2"/>
    <n v="5501"/>
    <n v="0.1"/>
    <n v="0.1"/>
    <n v="0.3"/>
    <n v="1.6"/>
    <n v="2.8"/>
    <n v="5.0999999999999996"/>
    <n v="15.9"/>
    <n v="25"/>
    <n v="22.4"/>
    <n v="26.9"/>
    <n v="0.8"/>
    <n v="8.3409999999999993"/>
  </r>
  <r>
    <x v="1"/>
    <x v="13"/>
    <x v="0"/>
    <n v="11895"/>
    <n v="0.3"/>
    <n v="0.4"/>
    <n v="1.2"/>
    <n v="3"/>
    <n v="5.9"/>
    <n v="9.3000000000000007"/>
    <n v="21.3"/>
    <n v="28.1"/>
    <n v="17.3"/>
    <n v="13.2"/>
    <n v="0.3"/>
    <n v="7.636000000000001"/>
  </r>
  <r>
    <x v="1"/>
    <x v="13"/>
    <x v="1"/>
    <n v="6370"/>
    <n v="0.3"/>
    <n v="0.4"/>
    <n v="1.3"/>
    <n v="3.2"/>
    <n v="6.7"/>
    <n v="10.4"/>
    <n v="22.2"/>
    <n v="28.6"/>
    <n v="15.5"/>
    <n v="11.4"/>
    <n v="0.3"/>
    <n v="7.5140000000000002"/>
  </r>
  <r>
    <x v="1"/>
    <x v="13"/>
    <x v="2"/>
    <n v="5525"/>
    <n v="0.3"/>
    <n v="0.4"/>
    <n v="1.1000000000000001"/>
    <n v="2.8"/>
    <n v="5"/>
    <n v="8"/>
    <n v="20.2"/>
    <n v="27.6"/>
    <n v="19.3"/>
    <n v="15.3"/>
    <n v="0.3"/>
    <n v="7.7750000000000004"/>
  </r>
  <r>
    <x v="1"/>
    <x v="14"/>
    <x v="0"/>
    <n v="11859"/>
    <n v="0.4"/>
    <n v="0.4"/>
    <n v="1.5"/>
    <n v="3.6"/>
    <n v="7.4"/>
    <n v="11.9"/>
    <n v="21.3"/>
    <n v="27.8"/>
    <n v="15"/>
    <n v="10.7"/>
    <n v="0.6"/>
    <n v="7.42"/>
  </r>
  <r>
    <x v="1"/>
    <x v="14"/>
    <x v="1"/>
    <n v="6358"/>
    <n v="0.5"/>
    <n v="0.4"/>
    <n v="1.9"/>
    <n v="4.8"/>
    <n v="9.1999999999999993"/>
    <n v="13.3"/>
    <n v="23"/>
    <n v="26.8"/>
    <n v="12"/>
    <n v="8.1"/>
    <n v="0.5"/>
    <n v="7.1639999999999997"/>
  </r>
  <r>
    <x v="1"/>
    <x v="14"/>
    <x v="2"/>
    <n v="5501"/>
    <n v="0.3"/>
    <n v="0.3"/>
    <n v="1.1000000000000001"/>
    <n v="2.2000000000000002"/>
    <n v="5.3"/>
    <n v="10.3"/>
    <n v="19.2"/>
    <n v="29.1"/>
    <n v="18.399999999999999"/>
    <n v="13.7"/>
    <n v="0.8"/>
    <n v="7.7110000000000003"/>
  </r>
  <r>
    <x v="1"/>
    <x v="15"/>
    <x v="0"/>
    <n v="11852"/>
    <n v="0.9"/>
    <n v="0.9"/>
    <n v="3.5"/>
    <n v="4.9000000000000004"/>
    <n v="8.1"/>
    <n v="11.6"/>
    <n v="22"/>
    <n v="25.6"/>
    <n v="12.7"/>
    <n v="9.8000000000000007"/>
    <n v="0.7"/>
    <n v="7.1400000000000006"/>
  </r>
  <r>
    <x v="1"/>
    <x v="15"/>
    <x v="1"/>
    <n v="6355"/>
    <n v="1.3"/>
    <n v="1.4"/>
    <n v="5.3"/>
    <n v="6.9"/>
    <n v="10.8"/>
    <n v="13.5"/>
    <n v="23.7"/>
    <n v="21.9"/>
    <n v="10"/>
    <n v="5.3"/>
    <n v="0.5"/>
    <n v="6.6670000000000007"/>
  </r>
  <r>
    <x v="1"/>
    <x v="15"/>
    <x v="2"/>
    <n v="5497"/>
    <n v="0.4"/>
    <n v="0.4"/>
    <n v="1.4"/>
    <n v="2.6"/>
    <n v="5"/>
    <n v="9.4"/>
    <n v="20"/>
    <n v="29.9"/>
    <n v="15.8"/>
    <n v="15.1"/>
    <n v="0.8"/>
    <n v="7.6959999999999997"/>
  </r>
  <r>
    <x v="1"/>
    <x v="16"/>
    <x v="0"/>
    <n v="11862"/>
    <n v="1.4"/>
    <n v="2.1"/>
    <n v="5.4"/>
    <n v="6.3"/>
    <n v="8.5"/>
    <n v="9.8000000000000007"/>
    <n v="18.899999999999999"/>
    <n v="24"/>
    <n v="12.6"/>
    <n v="11.1"/>
    <n v="0.6"/>
    <n v="6.97"/>
  </r>
  <r>
    <x v="1"/>
    <x v="16"/>
    <x v="1"/>
    <n v="6358"/>
    <n v="1.7"/>
    <n v="2.8"/>
    <n v="7.1"/>
    <n v="7.8"/>
    <n v="10.5"/>
    <n v="11.6"/>
    <n v="20.6"/>
    <n v="21"/>
    <n v="10.3"/>
    <n v="6.6"/>
    <n v="0.5"/>
    <n v="6.5280000000000005"/>
  </r>
  <r>
    <x v="1"/>
    <x v="16"/>
    <x v="2"/>
    <n v="5504"/>
    <n v="1.1000000000000001"/>
    <n v="1.3"/>
    <n v="3.3"/>
    <n v="4.5999999999999996"/>
    <n v="6.2"/>
    <n v="7.6"/>
    <n v="16.8"/>
    <n v="27.5"/>
    <n v="15.3"/>
    <n v="16.3"/>
    <n v="0.7"/>
    <n v="7.4690000000000003"/>
  </r>
  <r>
    <x v="1"/>
    <x v="17"/>
    <x v="0"/>
    <n v="11838"/>
    <n v="0.4"/>
    <n v="0.4"/>
    <n v="2.2000000000000002"/>
    <n v="4.9000000000000004"/>
    <n v="7.2"/>
    <n v="11"/>
    <n v="19.5"/>
    <n v="27.7"/>
    <n v="14.2"/>
    <n v="12.5"/>
    <n v="0.8"/>
    <n v="7.4030000000000005"/>
  </r>
  <r>
    <x v="1"/>
    <x v="17"/>
    <x v="1"/>
    <n v="6340"/>
    <n v="0.5"/>
    <n v="0.5"/>
    <n v="3"/>
    <n v="6.5"/>
    <n v="9.4"/>
    <n v="13"/>
    <n v="21.9"/>
    <n v="24.9"/>
    <n v="11.9"/>
    <n v="8.5"/>
    <n v="0.8"/>
    <n v="7.0609999999999999"/>
  </r>
  <r>
    <x v="1"/>
    <x v="17"/>
    <x v="2"/>
    <n v="5498"/>
    <n v="0.3"/>
    <n v="0.3"/>
    <n v="1.4"/>
    <n v="2.9"/>
    <n v="4.5999999999999996"/>
    <n v="8.8000000000000007"/>
    <n v="16.899999999999999"/>
    <n v="30.8"/>
    <n v="16.899999999999999"/>
    <n v="17.100000000000001"/>
    <n v="0.8"/>
    <n v="7.802999999999999"/>
  </r>
  <r>
    <x v="1"/>
    <x v="18"/>
    <x v="0"/>
    <n v="9886"/>
    <n v="9.1"/>
    <n v="4.3"/>
    <n v="10.5"/>
    <n v="10.5"/>
    <n v="11.8"/>
    <n v="11.2"/>
    <n v="16"/>
    <n v="15.3"/>
    <n v="7.2"/>
    <n v="4.0999999999999996"/>
    <n v="17.2"/>
    <n v="5.5759999999999996"/>
  </r>
  <r>
    <x v="1"/>
    <x v="18"/>
    <x v="1"/>
    <n v="5185"/>
    <n v="10.6"/>
    <n v="4.4000000000000004"/>
    <n v="10.199999999999999"/>
    <n v="10.8"/>
    <n v="11"/>
    <n v="11.7"/>
    <n v="16.899999999999999"/>
    <n v="14.2"/>
    <n v="6.8"/>
    <n v="3.5"/>
    <n v="18.899999999999999"/>
    <n v="5.4649999999999999"/>
  </r>
  <r>
    <x v="1"/>
    <x v="18"/>
    <x v="2"/>
    <n v="4701"/>
    <n v="7.6"/>
    <n v="4.2"/>
    <n v="10.7"/>
    <n v="10.199999999999999"/>
    <n v="12.6"/>
    <n v="10.6"/>
    <n v="15.1"/>
    <n v="16.399999999999999"/>
    <n v="7.6"/>
    <n v="4.9000000000000004"/>
    <n v="15.2"/>
    <n v="5.6980000000000004"/>
  </r>
  <r>
    <x v="1"/>
    <x v="51"/>
    <x v="0"/>
    <n v="10029"/>
    <n v="10.8"/>
    <n v="5.7"/>
    <n v="11.2"/>
    <n v="8.6999999999999993"/>
    <n v="9.5"/>
    <n v="10"/>
    <n v="14.1"/>
    <n v="16"/>
    <n v="8.3000000000000007"/>
    <n v="5.7"/>
    <n v="16"/>
    <n v="5.5650000000000004"/>
  </r>
  <r>
    <x v="1"/>
    <x v="51"/>
    <x v="1"/>
    <n v="5237"/>
    <n v="11.8"/>
    <n v="5.2"/>
    <n v="11.6"/>
    <n v="9.5"/>
    <n v="9.6"/>
    <n v="10.1"/>
    <n v="14"/>
    <n v="14.3"/>
    <n v="8.8000000000000007"/>
    <n v="5.0999999999999996"/>
    <n v="18"/>
    <n v="5.4619999999999997"/>
  </r>
  <r>
    <x v="1"/>
    <x v="51"/>
    <x v="2"/>
    <n v="4792"/>
    <n v="9.8000000000000007"/>
    <n v="6.3"/>
    <n v="10.7"/>
    <n v="7.8"/>
    <n v="9.4"/>
    <n v="9.9"/>
    <n v="14.3"/>
    <n v="17.899999999999999"/>
    <n v="7.7"/>
    <n v="6.3"/>
    <n v="13.6"/>
    <n v="5.6769999999999996"/>
  </r>
  <r>
    <x v="1"/>
    <x v="20"/>
    <x v="0"/>
    <n v="11816"/>
    <n v="0.7"/>
    <n v="0.4"/>
    <n v="1.7"/>
    <n v="4.4000000000000004"/>
    <n v="7.5"/>
    <n v="11.2"/>
    <n v="20.100000000000001"/>
    <n v="26"/>
    <n v="14.5"/>
    <n v="13.5"/>
    <n v="1"/>
    <n v="7.4309999999999992"/>
  </r>
  <r>
    <x v="1"/>
    <x v="20"/>
    <x v="1"/>
    <n v="6327"/>
    <n v="0.6"/>
    <n v="0.6"/>
    <n v="1.9"/>
    <n v="4.5"/>
    <n v="8.1"/>
    <n v="11.7"/>
    <n v="20.3"/>
    <n v="26.4"/>
    <n v="13.7"/>
    <n v="12"/>
    <n v="1"/>
    <n v="7.3279999999999994"/>
  </r>
  <r>
    <x v="1"/>
    <x v="20"/>
    <x v="2"/>
    <n v="5489"/>
    <n v="0.7"/>
    <n v="0.3"/>
    <n v="1.4"/>
    <n v="4.2"/>
    <n v="6.8"/>
    <n v="10.7"/>
    <n v="19.8"/>
    <n v="25.6"/>
    <n v="15.4"/>
    <n v="15.2"/>
    <n v="1"/>
    <n v="7.5449999999999999"/>
  </r>
  <r>
    <x v="1"/>
    <x v="52"/>
    <x v="0"/>
    <n v="11507"/>
    <n v="1.2"/>
    <n v="1"/>
    <n v="3.6"/>
    <n v="6.8"/>
    <n v="10.199999999999999"/>
    <n v="14.5"/>
    <n v="23"/>
    <n v="22"/>
    <n v="10.8"/>
    <n v="6.9"/>
    <n v="3.6"/>
    <n v="6.8239999999999998"/>
  </r>
  <r>
    <x v="1"/>
    <x v="52"/>
    <x v="1"/>
    <n v="6174"/>
    <n v="1.4"/>
    <n v="1.1000000000000001"/>
    <n v="3.7"/>
    <n v="7.6"/>
    <n v="10.7"/>
    <n v="15"/>
    <n v="23.7"/>
    <n v="20.9"/>
    <n v="9.9"/>
    <n v="6"/>
    <n v="3.4"/>
    <n v="6.7079999999999993"/>
  </r>
  <r>
    <x v="1"/>
    <x v="52"/>
    <x v="2"/>
    <n v="5333"/>
    <n v="0.9"/>
    <n v="0.9"/>
    <n v="3.6"/>
    <n v="5.9"/>
    <n v="9.6"/>
    <n v="13.9"/>
    <n v="22.1"/>
    <n v="23.2"/>
    <n v="11.8"/>
    <n v="8"/>
    <n v="3.8"/>
    <n v="6.95"/>
  </r>
  <r>
    <x v="1"/>
    <x v="53"/>
    <x v="0"/>
    <n v="11157"/>
    <n v="0.4"/>
    <n v="0.3"/>
    <n v="1.7"/>
    <n v="3.4"/>
    <n v="7.7"/>
    <n v="11.8"/>
    <n v="21.9"/>
    <n v="28"/>
    <n v="15"/>
    <n v="9.6999999999999993"/>
    <n v="6.5"/>
    <n v="7.383"/>
  </r>
  <r>
    <x v="1"/>
    <x v="53"/>
    <x v="1"/>
    <n v="5995"/>
    <n v="0.5"/>
    <n v="0.4"/>
    <n v="1.7"/>
    <n v="3.8"/>
    <n v="8.6999999999999993"/>
    <n v="12.6"/>
    <n v="23.2"/>
    <n v="26.9"/>
    <n v="13.6"/>
    <n v="8.6999999999999993"/>
    <n v="6.2"/>
    <n v="7.2770000000000001"/>
  </r>
  <r>
    <x v="1"/>
    <x v="53"/>
    <x v="2"/>
    <n v="5162"/>
    <n v="0.4"/>
    <n v="0.3"/>
    <n v="1.7"/>
    <n v="3"/>
    <n v="6.5"/>
    <n v="11"/>
    <n v="20.3"/>
    <n v="29.3"/>
    <n v="16.600000000000001"/>
    <n v="10.8"/>
    <n v="6.9"/>
    <n v="7.504999999999999"/>
  </r>
  <r>
    <x v="1"/>
    <x v="54"/>
    <x v="0"/>
    <n v="11613"/>
    <n v="1"/>
    <n v="0.8"/>
    <n v="2.9"/>
    <n v="5.2"/>
    <n v="8.9"/>
    <n v="13.3"/>
    <n v="20.9"/>
    <n v="23.6"/>
    <n v="13.1"/>
    <n v="10.4"/>
    <n v="2.7"/>
    <n v="7.1339999999999995"/>
  </r>
  <r>
    <x v="1"/>
    <x v="54"/>
    <x v="1"/>
    <n v="6229"/>
    <n v="1"/>
    <n v="0.8"/>
    <n v="3.1"/>
    <n v="6"/>
    <n v="9.6"/>
    <n v="13.8"/>
    <n v="21.2"/>
    <n v="22.7"/>
    <n v="12.1"/>
    <n v="9.5"/>
    <n v="2.5"/>
    <n v="7.0059999999999993"/>
  </r>
  <r>
    <x v="1"/>
    <x v="54"/>
    <x v="2"/>
    <n v="5384"/>
    <n v="0.9"/>
    <n v="0.7"/>
    <n v="2.6"/>
    <n v="4.3"/>
    <n v="8.1"/>
    <n v="12.6"/>
    <n v="20.5"/>
    <n v="24.7"/>
    <n v="14.1"/>
    <n v="11.4"/>
    <n v="2.9"/>
    <n v="7.2539999999999996"/>
  </r>
  <r>
    <x v="1"/>
    <x v="55"/>
    <x v="0"/>
    <n v="11303"/>
    <n v="0.6"/>
    <n v="0.6"/>
    <n v="2.6"/>
    <n v="4.7"/>
    <n v="9.1999999999999993"/>
    <n v="12.7"/>
    <n v="21.9"/>
    <n v="23.3"/>
    <n v="13.8"/>
    <n v="10.5"/>
    <n v="5.3"/>
    <n v="7.1949999999999994"/>
  </r>
  <r>
    <x v="1"/>
    <x v="55"/>
    <x v="1"/>
    <n v="6057"/>
    <n v="0.5"/>
    <n v="0.7"/>
    <n v="2.6"/>
    <n v="4.7"/>
    <n v="9.9"/>
    <n v="13.6"/>
    <n v="22.7"/>
    <n v="22.4"/>
    <n v="13"/>
    <n v="9.8000000000000007"/>
    <n v="5.2"/>
    <n v="7.1270000000000007"/>
  </r>
  <r>
    <x v="1"/>
    <x v="55"/>
    <x v="2"/>
    <n v="5246"/>
    <n v="0.7"/>
    <n v="0.6"/>
    <n v="2.6"/>
    <n v="4.5999999999999996"/>
    <n v="8.5"/>
    <n v="11.7"/>
    <n v="21.1"/>
    <n v="24.4"/>
    <n v="14.7"/>
    <n v="11.2"/>
    <n v="5.4"/>
    <n v="7.2799999999999994"/>
  </r>
  <r>
    <x v="1"/>
    <x v="27"/>
    <x v="0"/>
    <n v="10010"/>
    <n v="0.2"/>
    <n v="0.2"/>
    <n v="1.2"/>
    <n v="2.6"/>
    <n v="5.8"/>
    <n v="9.4"/>
    <n v="17.100000000000001"/>
    <n v="29.6"/>
    <n v="18.600000000000001"/>
    <n v="15.3"/>
    <n v="16.100000000000001"/>
    <n v="7.769000000000001"/>
  </r>
  <r>
    <x v="1"/>
    <x v="27"/>
    <x v="1"/>
    <n v="5343"/>
    <n v="0.2"/>
    <n v="0.2"/>
    <n v="1.3"/>
    <n v="3"/>
    <n v="6.5"/>
    <n v="10.7"/>
    <n v="18.399999999999999"/>
    <n v="29.4"/>
    <n v="16.899999999999999"/>
    <n v="13.3"/>
    <n v="16.399999999999999"/>
    <n v="7.6230000000000002"/>
  </r>
  <r>
    <x v="1"/>
    <x v="27"/>
    <x v="2"/>
    <n v="4667"/>
    <n v="0.1"/>
    <n v="0.1"/>
    <n v="1.2"/>
    <n v="2.1"/>
    <n v="5"/>
    <n v="7.9"/>
    <n v="15.6"/>
    <n v="29.9"/>
    <n v="20.6"/>
    <n v="17.5"/>
    <n v="15.8"/>
    <n v="7.9349999999999996"/>
  </r>
  <r>
    <x v="1"/>
    <x v="28"/>
    <x v="0"/>
    <n v="10539"/>
    <n v="0.2"/>
    <n v="0.2"/>
    <n v="1.4"/>
    <n v="2.9"/>
    <n v="6"/>
    <n v="9.4"/>
    <n v="17.899999999999999"/>
    <n v="29.1"/>
    <n v="18"/>
    <n v="14.8"/>
    <n v="11.7"/>
    <n v="7.7089999999999996"/>
  </r>
  <r>
    <x v="1"/>
    <x v="28"/>
    <x v="1"/>
    <n v="5618"/>
    <n v="0.2"/>
    <n v="0.3"/>
    <n v="1.4"/>
    <n v="3.3"/>
    <n v="6.8"/>
    <n v="10.6"/>
    <n v="18.899999999999999"/>
    <n v="28.9"/>
    <n v="16.899999999999999"/>
    <n v="12.9"/>
    <n v="12.1"/>
    <n v="7.6039999999999992"/>
  </r>
  <r>
    <x v="1"/>
    <x v="28"/>
    <x v="2"/>
    <n v="4921"/>
    <n v="0.2"/>
    <n v="0.2"/>
    <n v="1.4"/>
    <n v="2.4"/>
    <n v="5.0999999999999996"/>
    <n v="8.1999999999999993"/>
    <n v="16.8"/>
    <n v="29.5"/>
    <n v="19.2"/>
    <n v="17"/>
    <n v="11.2"/>
    <n v="7.8549999999999995"/>
  </r>
  <r>
    <x v="1"/>
    <x v="29"/>
    <x v="0"/>
    <n v="9780"/>
    <n v="0.3"/>
    <n v="0.2"/>
    <n v="1.3"/>
    <n v="3"/>
    <n v="6.3"/>
    <n v="11"/>
    <n v="19.3"/>
    <n v="28.1"/>
    <n v="17.899999999999999"/>
    <n v="12.5"/>
    <n v="18"/>
    <n v="7.601"/>
  </r>
  <r>
    <x v="1"/>
    <x v="29"/>
    <x v="1"/>
    <n v="5203"/>
    <n v="0.3"/>
    <n v="0.2"/>
    <n v="1.4"/>
    <n v="3.5"/>
    <n v="7.1"/>
    <n v="12.2"/>
    <n v="20.9"/>
    <n v="27.4"/>
    <n v="16.5"/>
    <n v="10.5"/>
    <n v="18.600000000000001"/>
    <n v="7.4659999999999993"/>
  </r>
  <r>
    <x v="1"/>
    <x v="29"/>
    <x v="2"/>
    <n v="4577"/>
    <n v="0.3"/>
    <n v="0.1"/>
    <n v="1.3"/>
    <n v="2.5"/>
    <n v="5.4"/>
    <n v="9.6"/>
    <n v="17.5"/>
    <n v="28.9"/>
    <n v="19.600000000000001"/>
    <n v="14.8"/>
    <n v="17.399999999999999"/>
    <n v="7.770999999999999"/>
  </r>
  <r>
    <x v="1"/>
    <x v="30"/>
    <x v="0"/>
    <n v="9600"/>
    <n v="0.2"/>
    <n v="0.3"/>
    <n v="1.4"/>
    <n v="2.9"/>
    <n v="6.7"/>
    <n v="11.7"/>
    <n v="19.899999999999999"/>
    <n v="26.6"/>
    <n v="17.899999999999999"/>
    <n v="12.4"/>
    <n v="19.600000000000001"/>
    <n v="7.5750000000000002"/>
  </r>
  <r>
    <x v="1"/>
    <x v="30"/>
    <x v="1"/>
    <n v="5108"/>
    <n v="0.3"/>
    <n v="0.2"/>
    <n v="1.5"/>
    <n v="3.3"/>
    <n v="7.5"/>
    <n v="12.9"/>
    <n v="20.9"/>
    <n v="26.1"/>
    <n v="16.8"/>
    <n v="10.4"/>
    <n v="20.100000000000001"/>
    <n v="7.4360000000000008"/>
  </r>
  <r>
    <x v="1"/>
    <x v="30"/>
    <x v="2"/>
    <n v="4492"/>
    <n v="0.1"/>
    <n v="0.4"/>
    <n v="1.4"/>
    <n v="2.4"/>
    <n v="5.7"/>
    <n v="10.199999999999999"/>
    <n v="18.8"/>
    <n v="27.1"/>
    <n v="19.2"/>
    <n v="14.6"/>
    <n v="19"/>
    <n v="7.7160000000000002"/>
  </r>
  <r>
    <x v="1"/>
    <x v="31"/>
    <x v="0"/>
    <n v="10403"/>
    <n v="0.2"/>
    <n v="0.3"/>
    <n v="1.3"/>
    <n v="2.8"/>
    <n v="5.2"/>
    <n v="7.5"/>
    <n v="16.2"/>
    <n v="26.7"/>
    <n v="19.100000000000001"/>
    <n v="20.6"/>
    <n v="12.8"/>
    <n v="7.918000000000001"/>
  </r>
  <r>
    <x v="1"/>
    <x v="31"/>
    <x v="1"/>
    <n v="5545"/>
    <n v="0.1"/>
    <n v="0.4"/>
    <n v="1.4"/>
    <n v="3.2"/>
    <n v="6"/>
    <n v="8.6"/>
    <n v="17"/>
    <n v="26.3"/>
    <n v="18.600000000000001"/>
    <n v="18.3"/>
    <n v="13.2"/>
    <n v="7.7930000000000001"/>
  </r>
  <r>
    <x v="1"/>
    <x v="31"/>
    <x v="2"/>
    <n v="4858"/>
    <n v="0.3"/>
    <n v="0.3"/>
    <n v="1.3"/>
    <n v="2.2999999999999998"/>
    <n v="4.2"/>
    <n v="6.2"/>
    <n v="15.4"/>
    <n v="27.2"/>
    <n v="19.600000000000001"/>
    <n v="23.2"/>
    <n v="12.4"/>
    <n v="8.06"/>
  </r>
  <r>
    <x v="1"/>
    <x v="32"/>
    <x v="0"/>
    <n v="10862"/>
    <n v="0.1"/>
    <n v="0.1"/>
    <n v="0.5"/>
    <n v="2"/>
    <n v="4.3"/>
    <n v="6.1"/>
    <n v="13.3"/>
    <n v="25.9"/>
    <n v="19.899999999999999"/>
    <n v="27.9"/>
    <n v="9"/>
    <n v="8.2629999999999999"/>
  </r>
  <r>
    <x v="1"/>
    <x v="32"/>
    <x v="1"/>
    <n v="5780"/>
    <n v="0.1"/>
    <n v="0.1"/>
    <n v="0.5"/>
    <n v="2.1"/>
    <n v="5.0999999999999996"/>
    <n v="7"/>
    <n v="14.3"/>
    <n v="25.6"/>
    <n v="19.399999999999999"/>
    <n v="25.8"/>
    <n v="9.5"/>
    <n v="8.152000000000001"/>
  </r>
  <r>
    <x v="1"/>
    <x v="32"/>
    <x v="2"/>
    <n v="5082"/>
    <n v="0.2"/>
    <n v="0.1"/>
    <n v="0.5"/>
    <n v="1.8"/>
    <n v="3.3"/>
    <n v="5.0999999999999996"/>
    <n v="12"/>
    <n v="26.2"/>
    <n v="20.399999999999999"/>
    <n v="30.2"/>
    <n v="8.3000000000000007"/>
    <n v="8.3539999999999992"/>
  </r>
  <r>
    <x v="1"/>
    <x v="33"/>
    <x v="0"/>
    <n v="10129"/>
    <n v="0.2"/>
    <n v="0.1"/>
    <n v="0.8"/>
    <n v="2.2999999999999998"/>
    <n v="5.7"/>
    <n v="9.1"/>
    <n v="19.399999999999999"/>
    <n v="27.8"/>
    <n v="19.399999999999999"/>
    <n v="15.2"/>
    <n v="15.1"/>
    <n v="7.7989999999999995"/>
  </r>
  <r>
    <x v="1"/>
    <x v="33"/>
    <x v="1"/>
    <n v="5395"/>
    <n v="0.2"/>
    <n v="0.1"/>
    <n v="0.8"/>
    <n v="2.6"/>
    <n v="6.5"/>
    <n v="9.9"/>
    <n v="21.3"/>
    <n v="27"/>
    <n v="18"/>
    <n v="13.7"/>
    <n v="15.6"/>
    <n v="7.6920000000000002"/>
  </r>
  <r>
    <x v="1"/>
    <x v="33"/>
    <x v="2"/>
    <n v="4734"/>
    <n v="0.2"/>
    <n v="0"/>
    <n v="0.8"/>
    <n v="1.9"/>
    <n v="4.9000000000000004"/>
    <n v="8.1999999999999993"/>
    <n v="17.2"/>
    <n v="28.7"/>
    <n v="21"/>
    <n v="17"/>
    <n v="14.6"/>
    <n v="7.9290000000000003"/>
  </r>
  <r>
    <x v="1"/>
    <x v="34"/>
    <x v="0"/>
    <n v="9977"/>
    <n v="0.5"/>
    <n v="0.5"/>
    <n v="2.2000000000000002"/>
    <n v="3.2"/>
    <n v="8"/>
    <n v="11.8"/>
    <n v="20.2"/>
    <n v="25.3"/>
    <n v="15.8"/>
    <n v="12.4"/>
    <n v="16.399999999999999"/>
    <n v="7.4170000000000016"/>
  </r>
  <r>
    <x v="1"/>
    <x v="34"/>
    <x v="1"/>
    <n v="5320"/>
    <n v="0.5"/>
    <n v="0.5"/>
    <n v="2.2999999999999998"/>
    <n v="3.8"/>
    <n v="8.6"/>
    <n v="12.9"/>
    <n v="21.3"/>
    <n v="24.6"/>
    <n v="14.8"/>
    <n v="10.6"/>
    <n v="16.7"/>
    <n v="7.2910000000000004"/>
  </r>
  <r>
    <x v="1"/>
    <x v="34"/>
    <x v="2"/>
    <n v="4657"/>
    <n v="0.5"/>
    <n v="0.6"/>
    <n v="2.1"/>
    <n v="2.6"/>
    <n v="7.2"/>
    <n v="10.6"/>
    <n v="19"/>
    <n v="26"/>
    <n v="16.899999999999999"/>
    <n v="14.5"/>
    <n v="16"/>
    <n v="7.5609999999999999"/>
  </r>
  <r>
    <x v="1"/>
    <x v="35"/>
    <x v="0"/>
    <n v="10632"/>
    <n v="0.5"/>
    <n v="0.4"/>
    <n v="1.3"/>
    <n v="3"/>
    <n v="6.4"/>
    <n v="9.8000000000000007"/>
    <n v="23.7"/>
    <n v="29.5"/>
    <n v="15"/>
    <n v="10.5"/>
    <n v="10.9"/>
    <n v="7.4989999999999997"/>
  </r>
  <r>
    <x v="1"/>
    <x v="35"/>
    <x v="1"/>
    <n v="5674"/>
    <n v="0.6"/>
    <n v="0.5"/>
    <n v="1.4"/>
    <n v="3.2"/>
    <n v="6.8"/>
    <n v="11.2"/>
    <n v="24.2"/>
    <n v="28.5"/>
    <n v="14"/>
    <n v="9.6999999999999993"/>
    <n v="11.2"/>
    <n v="7.4019999999999992"/>
  </r>
  <r>
    <x v="1"/>
    <x v="35"/>
    <x v="2"/>
    <n v="4958"/>
    <n v="0.4"/>
    <n v="0.3"/>
    <n v="1.3"/>
    <n v="2.8"/>
    <n v="5.9"/>
    <n v="8.1"/>
    <n v="23.1"/>
    <n v="30.6"/>
    <n v="16.2"/>
    <n v="11.3"/>
    <n v="10.6"/>
    <n v="7.5949999999999998"/>
  </r>
  <r>
    <x v="1"/>
    <x v="36"/>
    <x v="0"/>
    <n v="10733"/>
    <n v="0.3"/>
    <n v="0.4"/>
    <n v="1.9"/>
    <n v="3.3"/>
    <n v="6.7"/>
    <n v="11.5"/>
    <n v="22"/>
    <n v="30.2"/>
    <n v="14.3"/>
    <n v="9.4"/>
    <n v="10.1"/>
    <n v="7.4079999999999995"/>
  </r>
  <r>
    <x v="1"/>
    <x v="36"/>
    <x v="1"/>
    <n v="5730"/>
    <n v="0.3"/>
    <n v="0.4"/>
    <n v="2.1"/>
    <n v="3.5"/>
    <n v="7"/>
    <n v="13.2"/>
    <n v="22.2"/>
    <n v="29.6"/>
    <n v="13"/>
    <n v="8.6999999999999993"/>
    <n v="10.3"/>
    <n v="7.3180000000000005"/>
  </r>
  <r>
    <x v="1"/>
    <x v="36"/>
    <x v="2"/>
    <n v="5003"/>
    <n v="0.3"/>
    <n v="0.3"/>
    <n v="1.7"/>
    <n v="3.2"/>
    <n v="6.5"/>
    <n v="9.5"/>
    <n v="21.7"/>
    <n v="30.9"/>
    <n v="15.8"/>
    <n v="10.199999999999999"/>
    <n v="9.8000000000000007"/>
    <n v="7.516"/>
  </r>
  <r>
    <x v="1"/>
    <x v="37"/>
    <x v="0"/>
    <n v="10732"/>
    <n v="0.9"/>
    <n v="0.7"/>
    <n v="2"/>
    <n v="4.0999999999999996"/>
    <n v="6.8"/>
    <n v="10.199999999999999"/>
    <n v="21.5"/>
    <n v="29.4"/>
    <n v="14.3"/>
    <n v="10.1"/>
    <n v="10.1"/>
    <n v="7.3529999999999989"/>
  </r>
  <r>
    <x v="1"/>
    <x v="37"/>
    <x v="1"/>
    <n v="5727"/>
    <n v="0.8"/>
    <n v="0.8"/>
    <n v="1.9"/>
    <n v="4"/>
    <n v="7.2"/>
    <n v="11.5"/>
    <n v="22.5"/>
    <n v="28.5"/>
    <n v="13.3"/>
    <n v="9.5"/>
    <n v="10.4"/>
    <n v="7.2929999999999993"/>
  </r>
  <r>
    <x v="1"/>
    <x v="37"/>
    <x v="2"/>
    <n v="5005"/>
    <n v="0.9"/>
    <n v="0.6"/>
    <n v="2.1"/>
    <n v="4.0999999999999996"/>
    <n v="6.3"/>
    <n v="8.6999999999999993"/>
    <n v="20.399999999999999"/>
    <n v="30.5"/>
    <n v="15.5"/>
    <n v="10.7"/>
    <n v="9.6999999999999993"/>
    <n v="7.4179999999999993"/>
  </r>
  <r>
    <x v="1"/>
    <x v="38"/>
    <x v="0"/>
    <n v="11381"/>
    <n v="0.2"/>
    <n v="0.2"/>
    <n v="1.5"/>
    <n v="3.2"/>
    <n v="5.8"/>
    <n v="9.1"/>
    <n v="19.399999999999999"/>
    <n v="30.3"/>
    <n v="16.399999999999999"/>
    <n v="13.7"/>
    <n v="4.5999999999999996"/>
    <n v="7.6429999999999998"/>
  </r>
  <r>
    <x v="1"/>
    <x v="38"/>
    <x v="1"/>
    <n v="6114"/>
    <n v="0.2"/>
    <n v="0.2"/>
    <n v="1.6"/>
    <n v="3"/>
    <n v="6.1"/>
    <n v="10.199999999999999"/>
    <n v="19.600000000000001"/>
    <n v="30"/>
    <n v="15.9"/>
    <n v="13.3"/>
    <n v="4.3"/>
    <n v="7.6239999999999997"/>
  </r>
  <r>
    <x v="1"/>
    <x v="38"/>
    <x v="2"/>
    <n v="5267"/>
    <n v="0.2"/>
    <n v="0.2"/>
    <n v="1.5"/>
    <n v="3.4"/>
    <n v="5.6"/>
    <n v="8"/>
    <n v="19.3"/>
    <n v="30.8"/>
    <n v="17"/>
    <n v="14"/>
    <n v="5"/>
    <n v="7.6920000000000002"/>
  </r>
  <r>
    <x v="1"/>
    <x v="39"/>
    <x v="0"/>
    <n v="10185"/>
    <n v="0.2"/>
    <n v="0.2"/>
    <n v="0.7"/>
    <n v="2.7"/>
    <n v="5.3"/>
    <n v="9.4"/>
    <n v="19.399999999999999"/>
    <n v="30.1"/>
    <n v="17.600000000000001"/>
    <n v="14.6"/>
    <n v="14.7"/>
    <n v="7.774"/>
  </r>
  <r>
    <x v="1"/>
    <x v="39"/>
    <x v="1"/>
    <n v="5443"/>
    <n v="0.2"/>
    <n v="0.2"/>
    <n v="0.8"/>
    <n v="2.7"/>
    <n v="5.6"/>
    <n v="10"/>
    <n v="20"/>
    <n v="30.3"/>
    <n v="16.600000000000001"/>
    <n v="13.7"/>
    <n v="14.8"/>
    <n v="7.7060000000000004"/>
  </r>
  <r>
    <x v="1"/>
    <x v="39"/>
    <x v="2"/>
    <n v="4742"/>
    <n v="0.2"/>
    <n v="0.1"/>
    <n v="0.6"/>
    <n v="2.7"/>
    <n v="4.9000000000000004"/>
    <n v="8.6999999999999993"/>
    <n v="18.600000000000001"/>
    <n v="29.8"/>
    <n v="18.7"/>
    <n v="15.6"/>
    <n v="14.5"/>
    <n v="7.8260000000000005"/>
  </r>
  <r>
    <x v="1"/>
    <x v="40"/>
    <x v="0"/>
    <n v="9826"/>
    <n v="0.3"/>
    <n v="0.2"/>
    <n v="1.1000000000000001"/>
    <n v="3.3"/>
    <n v="6.2"/>
    <n v="10.3"/>
    <n v="23.1"/>
    <n v="31.4"/>
    <n v="14.5"/>
    <n v="9.6999999999999993"/>
    <n v="17.7"/>
    <n v="7.5040000000000004"/>
  </r>
  <r>
    <x v="1"/>
    <x v="40"/>
    <x v="1"/>
    <n v="5225"/>
    <n v="0.2"/>
    <n v="0.2"/>
    <n v="1.2"/>
    <n v="3.3"/>
    <n v="6.7"/>
    <n v="11.7"/>
    <n v="23.8"/>
    <n v="31"/>
    <n v="12.8"/>
    <n v="9"/>
    <n v="18.2"/>
    <n v="7.4089999999999998"/>
  </r>
  <r>
    <x v="1"/>
    <x v="40"/>
    <x v="2"/>
    <n v="4601"/>
    <n v="0.3"/>
    <n v="0.1"/>
    <n v="0.9"/>
    <n v="3.3"/>
    <n v="5.7"/>
    <n v="8.6999999999999993"/>
    <n v="22.1"/>
    <n v="31.9"/>
    <n v="16.5"/>
    <n v="10.5"/>
    <n v="17"/>
    <n v="7.6050000000000004"/>
  </r>
  <r>
    <x v="1"/>
    <x v="41"/>
    <x v="0"/>
    <n v="10942"/>
    <n v="1.5"/>
    <n v="3.1"/>
    <n v="6.6"/>
    <n v="7.5"/>
    <n v="10.1"/>
    <n v="13"/>
    <n v="21.4"/>
    <n v="22.1"/>
    <n v="10.4"/>
    <n v="4.4000000000000004"/>
    <n v="8.3000000000000007"/>
    <n v="6.5019999999999998"/>
  </r>
  <r>
    <x v="1"/>
    <x v="41"/>
    <x v="1"/>
    <n v="5886"/>
    <n v="1.5"/>
    <n v="3.1"/>
    <n v="6.9"/>
    <n v="7.8"/>
    <n v="10.5"/>
    <n v="13.9"/>
    <n v="21.4"/>
    <n v="21.9"/>
    <n v="9.3000000000000007"/>
    <n v="3.7"/>
    <n v="7.9"/>
    <n v="6.4119999999999999"/>
  </r>
  <r>
    <x v="1"/>
    <x v="41"/>
    <x v="2"/>
    <n v="5056"/>
    <n v="1.4"/>
    <n v="3.1"/>
    <n v="6.3"/>
    <n v="7"/>
    <n v="9.8000000000000007"/>
    <n v="11.9"/>
    <n v="21.3"/>
    <n v="22.3"/>
    <n v="11.6"/>
    <n v="5.2"/>
    <n v="8.8000000000000007"/>
    <n v="6.5879999999999992"/>
  </r>
  <r>
    <x v="1"/>
    <x v="42"/>
    <x v="0"/>
    <n v="10936"/>
    <n v="0.5"/>
    <n v="2"/>
    <n v="3.4"/>
    <n v="6.5"/>
    <n v="8.6999999999999993"/>
    <n v="11"/>
    <n v="19.8"/>
    <n v="26"/>
    <n v="13.9"/>
    <n v="8.1999999999999993"/>
    <n v="8.4"/>
    <n v="7.0390000000000006"/>
  </r>
  <r>
    <x v="1"/>
    <x v="42"/>
    <x v="1"/>
    <n v="5885"/>
    <n v="0.4"/>
    <n v="2"/>
    <n v="3.4"/>
    <n v="6.9"/>
    <n v="9.4"/>
    <n v="11.8"/>
    <n v="20.5"/>
    <n v="25.7"/>
    <n v="12.5"/>
    <n v="7.3"/>
    <n v="7.9"/>
    <n v="6.9459999999999997"/>
  </r>
  <r>
    <x v="1"/>
    <x v="42"/>
    <x v="2"/>
    <n v="5051"/>
    <n v="0.5"/>
    <n v="2"/>
    <n v="3.3"/>
    <n v="6"/>
    <n v="7.9"/>
    <n v="10.1"/>
    <n v="18.899999999999999"/>
    <n v="26.3"/>
    <n v="15.6"/>
    <n v="9.3000000000000007"/>
    <n v="8.9"/>
    <n v="7.145999999999999"/>
  </r>
  <r>
    <x v="1"/>
    <x v="43"/>
    <x v="0"/>
    <n v="10846"/>
    <n v="0.4"/>
    <n v="1.8"/>
    <n v="2.9"/>
    <n v="4.7"/>
    <n v="7.5"/>
    <n v="11"/>
    <n v="19"/>
    <n v="27.3"/>
    <n v="15.9"/>
    <n v="9.5"/>
    <n v="9.1"/>
    <n v="7.245000000000001"/>
  </r>
  <r>
    <x v="1"/>
    <x v="43"/>
    <x v="1"/>
    <n v="5838"/>
    <n v="0.4"/>
    <n v="1.7"/>
    <n v="3.1"/>
    <n v="4.8"/>
    <n v="7.8"/>
    <n v="11.7"/>
    <n v="20"/>
    <n v="26.6"/>
    <n v="15.2"/>
    <n v="8.6"/>
    <n v="8.6"/>
    <n v="7.1710000000000003"/>
  </r>
  <r>
    <x v="1"/>
    <x v="43"/>
    <x v="2"/>
    <n v="5008"/>
    <n v="0.3"/>
    <n v="1.9"/>
    <n v="2.6"/>
    <n v="4.5999999999999996"/>
    <n v="7.1"/>
    <n v="10.1"/>
    <n v="17.899999999999999"/>
    <n v="28.2"/>
    <n v="16.8"/>
    <n v="10.5"/>
    <n v="9.6999999999999993"/>
    <n v="7.335"/>
  </r>
  <r>
    <x v="1"/>
    <x v="44"/>
    <x v="0"/>
    <n v="11488"/>
    <n v="0.5"/>
    <n v="0.3"/>
    <n v="0.9"/>
    <n v="2.5"/>
    <n v="4.2"/>
    <n v="7.4"/>
    <n v="16.600000000000001"/>
    <n v="26.7"/>
    <n v="19"/>
    <n v="21.9"/>
    <n v="3.7"/>
    <n v="7.99"/>
  </r>
  <r>
    <x v="1"/>
    <x v="44"/>
    <x v="1"/>
    <n v="6128"/>
    <n v="0.5"/>
    <n v="0.3"/>
    <n v="0.9"/>
    <n v="2.8"/>
    <n v="4.5"/>
    <n v="8.1999999999999993"/>
    <n v="17.600000000000001"/>
    <n v="27.9"/>
    <n v="18.399999999999999"/>
    <n v="19"/>
    <n v="4.0999999999999996"/>
    <n v="7.8869999999999987"/>
  </r>
  <r>
    <x v="1"/>
    <x v="44"/>
    <x v="2"/>
    <n v="5360"/>
    <n v="0.4"/>
    <n v="0.3"/>
    <n v="0.9"/>
    <n v="2.2000000000000002"/>
    <n v="3.8"/>
    <n v="6.6"/>
    <n v="15.5"/>
    <n v="25.3"/>
    <n v="19.7"/>
    <n v="25.2"/>
    <n v="3.3"/>
    <n v="8.1129999999999995"/>
  </r>
  <r>
    <x v="2"/>
    <x v="0"/>
    <x v="0"/>
    <n v="11932"/>
    <n v="0"/>
    <n v="0.1"/>
    <n v="0.4"/>
    <n v="2"/>
    <n v="4.7"/>
    <n v="9.1999999999999993"/>
    <n v="39.5"/>
    <n v="19.600000000000001"/>
    <n v="12.2"/>
    <n v="12.4"/>
    <n v="0.2"/>
    <n v="7.5520000000000005"/>
  </r>
  <r>
    <x v="2"/>
    <x v="0"/>
    <x v="1"/>
    <n v="6529"/>
    <n v="0"/>
    <n v="0.1"/>
    <n v="0.1"/>
    <n v="2"/>
    <n v="4.7"/>
    <n v="10.3"/>
    <n v="39.5"/>
    <n v="20.100000000000001"/>
    <n v="12.4"/>
    <n v="10.8"/>
    <n v="0.2"/>
    <n v="7.5069999999999997"/>
  </r>
  <r>
    <x v="2"/>
    <x v="0"/>
    <x v="2"/>
    <n v="5403"/>
    <n v="0"/>
    <n v="0"/>
    <n v="0.7"/>
    <n v="1.9"/>
    <n v="4.5999999999999996"/>
    <n v="8"/>
    <n v="39.5"/>
    <n v="18.899999999999999"/>
    <n v="12"/>
    <n v="14.4"/>
    <n v="0.2"/>
    <n v="7.6039999999999992"/>
  </r>
  <r>
    <x v="2"/>
    <x v="1"/>
    <x v="0"/>
    <n v="11924"/>
    <n v="0.1"/>
    <n v="0"/>
    <n v="0.4"/>
    <n v="2.2999999999999998"/>
    <n v="5.3"/>
    <n v="9.6999999999999993"/>
    <n v="27.4"/>
    <n v="26.8"/>
    <n v="15.7"/>
    <n v="12.3"/>
    <n v="0.2"/>
    <n v="7.657"/>
  </r>
  <r>
    <x v="2"/>
    <x v="1"/>
    <x v="1"/>
    <n v="6528"/>
    <n v="0"/>
    <n v="0"/>
    <n v="0.3"/>
    <n v="2.5"/>
    <n v="5.3"/>
    <n v="11"/>
    <n v="27.5"/>
    <n v="27.7"/>
    <n v="14.8"/>
    <n v="11"/>
    <n v="0.2"/>
    <n v="7.6069999999999993"/>
  </r>
  <r>
    <x v="2"/>
    <x v="1"/>
    <x v="2"/>
    <n v="5396"/>
    <n v="0.1"/>
    <n v="0.1"/>
    <n v="0.6"/>
    <n v="2.2000000000000002"/>
    <n v="5.3"/>
    <n v="8.1"/>
    <n v="27.4"/>
    <n v="25.7"/>
    <n v="16.7"/>
    <n v="13.8"/>
    <n v="0.3"/>
    <n v="7.7169999999999996"/>
  </r>
  <r>
    <x v="2"/>
    <x v="2"/>
    <x v="0"/>
    <n v="11937"/>
    <n v="0.2"/>
    <n v="0.3"/>
    <n v="2.4"/>
    <n v="4.4000000000000004"/>
    <n v="7.8"/>
    <n v="10.7"/>
    <n v="24.3"/>
    <n v="25"/>
    <n v="14.5"/>
    <n v="10.4"/>
    <n v="0.1"/>
    <n v="7.3339999999999996"/>
  </r>
  <r>
    <x v="2"/>
    <x v="2"/>
    <x v="1"/>
    <n v="6536"/>
    <n v="0.3"/>
    <n v="0.3"/>
    <n v="2.4"/>
    <n v="4.8"/>
    <n v="7.9"/>
    <n v="11.3"/>
    <n v="24.3"/>
    <n v="25.1"/>
    <n v="14.2"/>
    <n v="9.4"/>
    <n v="0.1"/>
    <n v="7.2729999999999997"/>
  </r>
  <r>
    <x v="2"/>
    <x v="2"/>
    <x v="2"/>
    <n v="5401"/>
    <n v="0.2"/>
    <n v="0.2"/>
    <n v="2.4"/>
    <n v="3.9"/>
    <n v="7.6"/>
    <n v="10"/>
    <n v="24.3"/>
    <n v="25"/>
    <n v="14.8"/>
    <n v="11.6"/>
    <n v="0.2"/>
    <n v="7.407"/>
  </r>
  <r>
    <x v="2"/>
    <x v="3"/>
    <x v="0"/>
    <n v="11653"/>
    <n v="0.1"/>
    <n v="0.1"/>
    <n v="0.2"/>
    <n v="6.1"/>
    <n v="8.6"/>
    <n v="12.8"/>
    <n v="34.5"/>
    <n v="19.5"/>
    <n v="11.7"/>
    <n v="6.2"/>
    <n v="2.5"/>
    <n v="7.0990000000000002"/>
  </r>
  <r>
    <x v="2"/>
    <x v="3"/>
    <x v="1"/>
    <n v="6380"/>
    <n v="0.1"/>
    <n v="0.1"/>
    <n v="0.1"/>
    <n v="6.5"/>
    <n v="8.6999999999999993"/>
    <n v="13.3"/>
    <n v="35.200000000000003"/>
    <n v="19.7"/>
    <n v="10.9"/>
    <n v="5.4"/>
    <n v="2.4"/>
    <n v="7.0600000000000005"/>
  </r>
  <r>
    <x v="2"/>
    <x v="3"/>
    <x v="2"/>
    <n v="5273"/>
    <n v="0.2"/>
    <n v="0.2"/>
    <n v="0.3"/>
    <n v="5.7"/>
    <n v="8.4"/>
    <n v="12.2"/>
    <n v="33.700000000000003"/>
    <n v="19.3"/>
    <n v="12.7"/>
    <n v="7.2"/>
    <n v="2.6"/>
    <n v="7.1609999999999996"/>
  </r>
  <r>
    <x v="2"/>
    <x v="45"/>
    <x v="0"/>
    <n v="9760"/>
    <n v="0.2"/>
    <n v="0.2"/>
    <n v="1.2"/>
    <n v="2.1"/>
    <n v="4.9000000000000004"/>
    <n v="7.3"/>
    <n v="23"/>
    <n v="26.6"/>
    <n v="17.5"/>
    <n v="16.899999999999999"/>
    <n v="18.3"/>
    <n v="7.8120000000000012"/>
  </r>
  <r>
    <x v="2"/>
    <x v="45"/>
    <x v="1"/>
    <n v="5379"/>
    <n v="0.3"/>
    <n v="0.2"/>
    <n v="1.2"/>
    <n v="2"/>
    <n v="5.0999999999999996"/>
    <n v="7.5"/>
    <n v="23.6"/>
    <n v="27.3"/>
    <n v="16.7"/>
    <n v="16.100000000000001"/>
    <n v="17.8"/>
    <n v="7.777000000000001"/>
  </r>
  <r>
    <x v="2"/>
    <x v="45"/>
    <x v="2"/>
    <n v="4381"/>
    <n v="0.1"/>
    <n v="0.2"/>
    <n v="1.2"/>
    <n v="2.2000000000000002"/>
    <n v="4.8"/>
    <n v="7"/>
    <n v="22.4"/>
    <n v="25.8"/>
    <n v="18.5"/>
    <n v="17.8"/>
    <n v="19.100000000000001"/>
    <n v="7.8659999999999997"/>
  </r>
  <r>
    <x v="2"/>
    <x v="46"/>
    <x v="0"/>
    <n v="11934"/>
    <n v="0.1"/>
    <n v="0.1"/>
    <n v="0.3"/>
    <n v="0.7"/>
    <n v="1.6"/>
    <n v="3.2"/>
    <n v="12.3"/>
    <n v="24.8"/>
    <n v="21.9"/>
    <n v="35"/>
    <n v="0.2"/>
    <n v="8.6280000000000001"/>
  </r>
  <r>
    <x v="2"/>
    <x v="46"/>
    <x v="1"/>
    <n v="6533"/>
    <n v="0.2"/>
    <n v="0"/>
    <n v="0.3"/>
    <n v="0.7"/>
    <n v="1.6"/>
    <n v="3.3"/>
    <n v="12.2"/>
    <n v="26"/>
    <n v="22.6"/>
    <n v="33"/>
    <n v="0.1"/>
    <n v="8.5850000000000009"/>
  </r>
  <r>
    <x v="2"/>
    <x v="46"/>
    <x v="2"/>
    <n v="5401"/>
    <n v="0.1"/>
    <n v="0.1"/>
    <n v="0.3"/>
    <n v="0.7"/>
    <n v="1.6"/>
    <n v="3.1"/>
    <n v="12.3"/>
    <n v="23.3"/>
    <n v="20.9"/>
    <n v="37.5"/>
    <n v="0.2"/>
    <n v="8.6620000000000008"/>
  </r>
  <r>
    <x v="2"/>
    <x v="47"/>
    <x v="0"/>
    <n v="11735"/>
    <n v="0.1"/>
    <n v="0.1"/>
    <n v="0.4"/>
    <n v="1.1000000000000001"/>
    <n v="2.8"/>
    <n v="4.4000000000000004"/>
    <n v="13.1"/>
    <n v="25.4"/>
    <n v="21.2"/>
    <n v="31.2"/>
    <n v="1.8"/>
    <n v="8.4400000000000013"/>
  </r>
  <r>
    <x v="2"/>
    <x v="47"/>
    <x v="1"/>
    <n v="6427"/>
    <n v="0.1"/>
    <n v="0.1"/>
    <n v="0.4"/>
    <n v="1.1000000000000001"/>
    <n v="3"/>
    <n v="4.7"/>
    <n v="13.5"/>
    <n v="26.5"/>
    <n v="21.6"/>
    <n v="29"/>
    <n v="1.7"/>
    <n v="8.4"/>
  </r>
  <r>
    <x v="2"/>
    <x v="47"/>
    <x v="2"/>
    <n v="5308"/>
    <n v="0.1"/>
    <n v="0.1"/>
    <n v="0.5"/>
    <n v="1.2"/>
    <n v="2.7"/>
    <n v="4.0999999999999996"/>
    <n v="12.6"/>
    <n v="24.1"/>
    <n v="20.8"/>
    <n v="33.9"/>
    <n v="1.9"/>
    <n v="8.5190000000000001"/>
  </r>
  <r>
    <x v="2"/>
    <x v="48"/>
    <x v="0"/>
    <n v="9143"/>
    <n v="0.1"/>
    <n v="0.3"/>
    <n v="0.5"/>
    <n v="1.7"/>
    <n v="3.1"/>
    <n v="5.9"/>
    <n v="16"/>
    <n v="24.7"/>
    <n v="19.5"/>
    <n v="28.2"/>
    <n v="23.5"/>
    <n v="8.27"/>
  </r>
  <r>
    <x v="2"/>
    <x v="48"/>
    <x v="1"/>
    <n v="5048"/>
    <n v="0.1"/>
    <n v="0.2"/>
    <n v="0.5"/>
    <n v="1.6"/>
    <n v="3.3"/>
    <n v="6.2"/>
    <n v="16.600000000000001"/>
    <n v="25.2"/>
    <n v="19.8"/>
    <n v="26.6"/>
    <n v="22.8"/>
    <n v="8.2409999999999997"/>
  </r>
  <r>
    <x v="2"/>
    <x v="48"/>
    <x v="2"/>
    <n v="4095"/>
    <n v="0.2"/>
    <n v="0.3"/>
    <n v="0.7"/>
    <n v="1.8"/>
    <n v="2.9"/>
    <n v="5.5"/>
    <n v="15.4"/>
    <n v="24"/>
    <n v="19.100000000000001"/>
    <n v="30.2"/>
    <n v="24.3"/>
    <n v="8.3130000000000006"/>
  </r>
  <r>
    <x v="2"/>
    <x v="49"/>
    <x v="0"/>
    <n v="11774"/>
    <n v="0.1"/>
    <n v="0.1"/>
    <n v="0.3"/>
    <n v="4.4000000000000004"/>
    <n v="7.9"/>
    <n v="12.5"/>
    <n v="34.700000000000003"/>
    <n v="19.3"/>
    <n v="13"/>
    <n v="7.7"/>
    <n v="1.5"/>
    <n v="7.2460000000000004"/>
  </r>
  <r>
    <x v="2"/>
    <x v="49"/>
    <x v="1"/>
    <n v="6446"/>
    <n v="0"/>
    <n v="0.1"/>
    <n v="0.2"/>
    <n v="4.5"/>
    <n v="8.3000000000000007"/>
    <n v="13.1"/>
    <n v="35.299999999999997"/>
    <n v="19.2"/>
    <n v="12.1"/>
    <n v="7.2"/>
    <n v="1.4"/>
    <n v="7.2049999999999992"/>
  </r>
  <r>
    <x v="2"/>
    <x v="49"/>
    <x v="2"/>
    <n v="5328"/>
    <n v="0.1"/>
    <n v="0.2"/>
    <n v="0.3"/>
    <n v="4.2"/>
    <n v="7.4"/>
    <n v="11.8"/>
    <n v="34"/>
    <n v="19.399999999999999"/>
    <n v="14.2"/>
    <n v="8.4"/>
    <n v="1.6"/>
    <n v="7.3100000000000005"/>
  </r>
  <r>
    <x v="2"/>
    <x v="56"/>
    <x v="0"/>
    <n v="11913"/>
    <n v="0.2"/>
    <n v="0.3"/>
    <n v="1.1000000000000001"/>
    <n v="2.6"/>
    <n v="6.1"/>
    <n v="9.5"/>
    <n v="23.4"/>
    <n v="26.9"/>
    <n v="16.899999999999999"/>
    <n v="13"/>
    <n v="0.3"/>
    <n v="7.6309999999999993"/>
  </r>
  <r>
    <x v="2"/>
    <x v="56"/>
    <x v="1"/>
    <n v="6520"/>
    <n v="0.2"/>
    <n v="0.2"/>
    <n v="1.1000000000000001"/>
    <n v="2.7"/>
    <n v="6.7"/>
    <n v="11"/>
    <n v="24.2"/>
    <n v="27.5"/>
    <n v="15.4"/>
    <n v="10.9"/>
    <n v="0.3"/>
    <n v="7.5120000000000005"/>
  </r>
  <r>
    <x v="2"/>
    <x v="56"/>
    <x v="2"/>
    <n v="5393"/>
    <n v="0.2"/>
    <n v="0.3"/>
    <n v="1"/>
    <n v="2.6"/>
    <n v="5.3"/>
    <n v="7.7"/>
    <n v="22.3"/>
    <n v="26.2"/>
    <n v="18.8"/>
    <n v="15.6"/>
    <n v="0.4"/>
    <n v="7.7780000000000005"/>
  </r>
  <r>
    <x v="2"/>
    <x v="57"/>
    <x v="0"/>
    <n v="11916"/>
    <n v="0.6"/>
    <n v="0.6"/>
    <n v="1.9"/>
    <n v="3.7"/>
    <n v="6.1"/>
    <n v="10.9"/>
    <n v="23.1"/>
    <n v="29.3"/>
    <n v="14.7"/>
    <n v="9.1999999999999993"/>
    <n v="0.3"/>
    <n v="7.3860000000000001"/>
  </r>
  <r>
    <x v="2"/>
    <x v="57"/>
    <x v="1"/>
    <n v="6517"/>
    <n v="0.6"/>
    <n v="0.7"/>
    <n v="2.1"/>
    <n v="4.5"/>
    <n v="7.2"/>
    <n v="13"/>
    <n v="24.8"/>
    <n v="28.6"/>
    <n v="12.1"/>
    <n v="6.3"/>
    <n v="0.4"/>
    <n v="7.1459999999999999"/>
  </r>
  <r>
    <x v="2"/>
    <x v="57"/>
    <x v="2"/>
    <n v="5399"/>
    <n v="0.5"/>
    <n v="0.4"/>
    <n v="1.6"/>
    <n v="2.7"/>
    <n v="4.8"/>
    <n v="8.3000000000000007"/>
    <n v="21.1"/>
    <n v="30"/>
    <n v="17.8"/>
    <n v="12.8"/>
    <n v="0.3"/>
    <n v="7.6660000000000013"/>
  </r>
  <r>
    <x v="2"/>
    <x v="58"/>
    <x v="0"/>
    <n v="11909"/>
    <n v="1.7"/>
    <n v="1.5"/>
    <n v="3.7"/>
    <n v="3.8"/>
    <n v="6.8"/>
    <n v="11.1"/>
    <n v="22.8"/>
    <n v="25.2"/>
    <n v="13.9"/>
    <n v="9.5"/>
    <n v="0.4"/>
    <n v="7.1290000000000004"/>
  </r>
  <r>
    <x v="2"/>
    <x v="58"/>
    <x v="1"/>
    <n v="6515"/>
    <n v="1.9"/>
    <n v="2"/>
    <n v="4.5"/>
    <n v="5"/>
    <n v="8.1999999999999993"/>
    <n v="13"/>
    <n v="24.2"/>
    <n v="23.3"/>
    <n v="11.5"/>
    <n v="6.4"/>
    <n v="0.4"/>
    <n v="6.8170000000000002"/>
  </r>
  <r>
    <x v="2"/>
    <x v="58"/>
    <x v="2"/>
    <n v="5394"/>
    <n v="1.3"/>
    <n v="0.9"/>
    <n v="2.9"/>
    <n v="2.5"/>
    <n v="5.2"/>
    <n v="8.8000000000000007"/>
    <n v="21"/>
    <n v="27.4"/>
    <n v="17"/>
    <n v="13.1"/>
    <n v="0.4"/>
    <n v="7.5079999999999991"/>
  </r>
  <r>
    <x v="2"/>
    <x v="59"/>
    <x v="0"/>
    <n v="11907"/>
    <n v="2.1"/>
    <n v="1.9"/>
    <n v="4.9000000000000004"/>
    <n v="5.6"/>
    <n v="8.1999999999999993"/>
    <n v="10.1"/>
    <n v="20"/>
    <n v="23.3"/>
    <n v="12.7"/>
    <n v="11"/>
    <n v="0.4"/>
    <n v="6.9529999999999994"/>
  </r>
  <r>
    <x v="2"/>
    <x v="59"/>
    <x v="1"/>
    <n v="6508"/>
    <n v="2.8"/>
    <n v="2.2000000000000002"/>
    <n v="5.6"/>
    <n v="6.5"/>
    <n v="9.3000000000000007"/>
    <n v="11.6"/>
    <n v="21"/>
    <n v="22.2"/>
    <n v="10.4"/>
    <n v="8.4"/>
    <n v="0.5"/>
    <n v="6.6829999999999998"/>
  </r>
  <r>
    <x v="2"/>
    <x v="59"/>
    <x v="2"/>
    <n v="5399"/>
    <n v="1.4"/>
    <n v="1.5"/>
    <n v="4.0999999999999996"/>
    <n v="4.5999999999999996"/>
    <n v="6.9"/>
    <n v="8.4"/>
    <n v="18.8"/>
    <n v="24.7"/>
    <n v="15.5"/>
    <n v="14.2"/>
    <n v="0.3"/>
    <n v="7.3070000000000004"/>
  </r>
  <r>
    <x v="2"/>
    <x v="60"/>
    <x v="0"/>
    <n v="11880"/>
    <n v="0.6"/>
    <n v="0.7"/>
    <n v="1.3"/>
    <n v="3.6"/>
    <n v="6.6"/>
    <n v="11"/>
    <n v="20.9"/>
    <n v="28.2"/>
    <n v="15.1"/>
    <n v="12"/>
    <n v="0.6"/>
    <n v="7.4709999999999992"/>
  </r>
  <r>
    <x v="2"/>
    <x v="60"/>
    <x v="1"/>
    <n v="6500"/>
    <n v="1"/>
    <n v="1"/>
    <n v="1.8"/>
    <n v="4.8"/>
    <n v="8.6"/>
    <n v="14.6"/>
    <n v="22.9"/>
    <n v="27.5"/>
    <n v="10.9"/>
    <n v="6.9"/>
    <n v="0.6"/>
    <n v="7.0559999999999992"/>
  </r>
  <r>
    <x v="2"/>
    <x v="60"/>
    <x v="2"/>
    <n v="5380"/>
    <n v="0.2"/>
    <n v="0.3"/>
    <n v="0.7"/>
    <n v="2.2000000000000002"/>
    <n v="4.2"/>
    <n v="6.7"/>
    <n v="18.399999999999999"/>
    <n v="29"/>
    <n v="20.2"/>
    <n v="18.2"/>
    <n v="0.6"/>
    <n v="7.9749999999999996"/>
  </r>
  <r>
    <x v="2"/>
    <x v="61"/>
    <x v="0"/>
    <n v="9612"/>
    <n v="8.4"/>
    <n v="3.6"/>
    <n v="9.3000000000000007"/>
    <n v="10.199999999999999"/>
    <n v="11.5"/>
    <n v="10.4"/>
    <n v="17.399999999999999"/>
    <n v="16"/>
    <n v="8.1"/>
    <n v="5.2"/>
    <n v="19.600000000000001"/>
    <n v="5.7889999999999997"/>
  </r>
  <r>
    <x v="2"/>
    <x v="61"/>
    <x v="1"/>
    <n v="5283"/>
    <n v="9.1"/>
    <n v="4"/>
    <n v="8.8000000000000007"/>
    <n v="10.5"/>
    <n v="11.7"/>
    <n v="11.5"/>
    <n v="18"/>
    <n v="15.3"/>
    <n v="6.6"/>
    <n v="4.3"/>
    <n v="19.2"/>
    <n v="5.6379999999999999"/>
  </r>
  <r>
    <x v="2"/>
    <x v="61"/>
    <x v="2"/>
    <n v="4329"/>
    <n v="7.5"/>
    <n v="3.1"/>
    <n v="9.8000000000000007"/>
    <n v="9.6999999999999993"/>
    <n v="11.1"/>
    <n v="9.1"/>
    <n v="16.600000000000001"/>
    <n v="16.8"/>
    <n v="9.9"/>
    <n v="6.4"/>
    <n v="20"/>
    <n v="5.9569999999999999"/>
  </r>
  <r>
    <x v="2"/>
    <x v="62"/>
    <x v="0"/>
    <n v="9711"/>
    <n v="9.1999999999999993"/>
    <n v="4.0999999999999996"/>
    <n v="9.5"/>
    <n v="8"/>
    <n v="10.8"/>
    <n v="10"/>
    <n v="15.5"/>
    <n v="17.399999999999999"/>
    <n v="8.1"/>
    <n v="7.2"/>
    <n v="18.8"/>
    <n v="5.8449999999999998"/>
  </r>
  <r>
    <x v="2"/>
    <x v="62"/>
    <x v="1"/>
    <n v="5304"/>
    <n v="9.3000000000000007"/>
    <n v="4.5"/>
    <n v="9.8000000000000007"/>
    <n v="8.4"/>
    <n v="11"/>
    <n v="10.5"/>
    <n v="16.100000000000001"/>
    <n v="17"/>
    <n v="6.9"/>
    <n v="6.4"/>
    <n v="18.899999999999999"/>
    <n v="5.7410000000000005"/>
  </r>
  <r>
    <x v="2"/>
    <x v="62"/>
    <x v="2"/>
    <n v="4407"/>
    <n v="9.1"/>
    <n v="3.7"/>
    <n v="9.1999999999999993"/>
    <n v="7.5"/>
    <n v="10.6"/>
    <n v="9.4"/>
    <n v="14.8"/>
    <n v="17.8"/>
    <n v="9.6"/>
    <n v="8.3000000000000007"/>
    <n v="18.600000000000001"/>
    <n v="5.9889999999999999"/>
  </r>
  <r>
    <x v="2"/>
    <x v="63"/>
    <x v="0"/>
    <n v="11824"/>
    <n v="0.7"/>
    <n v="0.5"/>
    <n v="1.4"/>
    <n v="4.0999999999999996"/>
    <n v="7.7"/>
    <n v="10.6"/>
    <n v="21.4"/>
    <n v="25.4"/>
    <n v="14"/>
    <n v="14.1"/>
    <n v="1.1000000000000001"/>
    <n v="7.4439999999999991"/>
  </r>
  <r>
    <x v="2"/>
    <x v="63"/>
    <x v="1"/>
    <n v="6457"/>
    <n v="0.9"/>
    <n v="0.7"/>
    <n v="1.5"/>
    <n v="4.9000000000000004"/>
    <n v="8.3000000000000007"/>
    <n v="12.4"/>
    <n v="21.6"/>
    <n v="25.2"/>
    <n v="12.2"/>
    <n v="12.4"/>
    <n v="1.3"/>
    <n v="7.2890000000000006"/>
  </r>
  <r>
    <x v="2"/>
    <x v="63"/>
    <x v="2"/>
    <n v="5367"/>
    <n v="0.5"/>
    <n v="0.4"/>
    <n v="1.3"/>
    <n v="3.2"/>
    <n v="7"/>
    <n v="8.5"/>
    <n v="21.1"/>
    <n v="25.7"/>
    <n v="16.100000000000001"/>
    <n v="16.2"/>
    <n v="0.8"/>
    <n v="7.6420000000000003"/>
  </r>
  <r>
    <x v="2"/>
    <x v="64"/>
    <x v="0"/>
    <n v="11669"/>
    <n v="1.1000000000000001"/>
    <n v="1.2"/>
    <n v="3.6"/>
    <n v="5"/>
    <n v="8.9"/>
    <n v="12.6"/>
    <n v="21.6"/>
    <n v="25.2"/>
    <n v="11.3"/>
    <n v="9.6"/>
    <n v="2.4"/>
    <n v="7.0490000000000004"/>
  </r>
  <r>
    <x v="2"/>
    <x v="64"/>
    <x v="1"/>
    <n v="6406"/>
    <n v="1.2"/>
    <n v="1.3"/>
    <n v="4"/>
    <n v="5.7"/>
    <n v="9.6"/>
    <n v="13.3"/>
    <n v="22"/>
    <n v="25.2"/>
    <n v="9.6"/>
    <n v="8.1"/>
    <n v="2"/>
    <n v="6.8940000000000001"/>
  </r>
  <r>
    <x v="2"/>
    <x v="64"/>
    <x v="2"/>
    <n v="5263"/>
    <n v="1"/>
    <n v="1.1000000000000001"/>
    <n v="3"/>
    <n v="4.2"/>
    <n v="8"/>
    <n v="11.7"/>
    <n v="21.1"/>
    <n v="25.2"/>
    <n v="13.2"/>
    <n v="11.3"/>
    <n v="2.8"/>
    <n v="7.2029999999999994"/>
  </r>
  <r>
    <x v="2"/>
    <x v="65"/>
    <x v="0"/>
    <n v="11370"/>
    <n v="0.4"/>
    <n v="0.4"/>
    <n v="1.5"/>
    <n v="2.9"/>
    <n v="6.4"/>
    <n v="10.9"/>
    <n v="20.6"/>
    <n v="29.9"/>
    <n v="14.5"/>
    <n v="12.5"/>
    <n v="4.9000000000000004"/>
    <n v="7.5359999999999996"/>
  </r>
  <r>
    <x v="2"/>
    <x v="65"/>
    <x v="1"/>
    <n v="6234"/>
    <n v="0.3"/>
    <n v="0.5"/>
    <n v="1.8"/>
    <n v="3.1"/>
    <n v="7.4"/>
    <n v="11.9"/>
    <n v="20.6"/>
    <n v="30.1"/>
    <n v="13.2"/>
    <n v="11"/>
    <n v="4.7"/>
    <n v="7.4130000000000003"/>
  </r>
  <r>
    <x v="2"/>
    <x v="65"/>
    <x v="2"/>
    <n v="5136"/>
    <n v="0.4"/>
    <n v="0.3"/>
    <n v="1.1000000000000001"/>
    <n v="2.7"/>
    <n v="5.0999999999999996"/>
    <n v="9.6999999999999993"/>
    <n v="20.399999999999999"/>
    <n v="29.6"/>
    <n v="16.100000000000001"/>
    <n v="14.3"/>
    <n v="5.0999999999999996"/>
    <n v="7.6630000000000003"/>
  </r>
  <r>
    <x v="2"/>
    <x v="66"/>
    <x v="0"/>
    <n v="11631"/>
    <n v="1.2"/>
    <n v="1.2"/>
    <n v="2.7"/>
    <n v="3.9"/>
    <n v="7.7"/>
    <n v="11.9"/>
    <n v="21"/>
    <n v="26.1"/>
    <n v="12.9"/>
    <n v="11.5"/>
    <n v="2.7"/>
    <n v="7.2409999999999997"/>
  </r>
  <r>
    <x v="2"/>
    <x v="66"/>
    <x v="1"/>
    <n v="6392"/>
    <n v="1.3"/>
    <n v="1.3"/>
    <n v="2.6"/>
    <n v="4.5"/>
    <n v="8.6"/>
    <n v="12.5"/>
    <n v="21.9"/>
    <n v="25.5"/>
    <n v="11.8"/>
    <n v="10"/>
    <n v="2.2999999999999998"/>
    <n v="7.1120000000000001"/>
  </r>
  <r>
    <x v="2"/>
    <x v="66"/>
    <x v="2"/>
    <n v="5239"/>
    <n v="1"/>
    <n v="1.1000000000000001"/>
    <n v="2.7"/>
    <n v="3.1"/>
    <n v="6.5"/>
    <n v="11.1"/>
    <n v="19.899999999999999"/>
    <n v="26.9"/>
    <n v="14.2"/>
    <n v="13.4"/>
    <n v="3.2"/>
    <n v="7.391"/>
  </r>
  <r>
    <x v="2"/>
    <x v="67"/>
    <x v="0"/>
    <n v="11382"/>
    <n v="0.4"/>
    <n v="0.5"/>
    <n v="1.9"/>
    <n v="4"/>
    <n v="7.7"/>
    <n v="11.4"/>
    <n v="20.9"/>
    <n v="26.6"/>
    <n v="14"/>
    <n v="12.6"/>
    <n v="4.8"/>
    <n v="7.4109999999999996"/>
  </r>
  <r>
    <x v="2"/>
    <x v="67"/>
    <x v="1"/>
    <n v="6241"/>
    <n v="0.4"/>
    <n v="0.5"/>
    <n v="2"/>
    <n v="4.3"/>
    <n v="8.8000000000000007"/>
    <n v="12.7"/>
    <n v="21.5"/>
    <n v="25.4"/>
    <n v="12.9"/>
    <n v="11.5"/>
    <n v="4.5999999999999996"/>
    <n v="7.2959999999999994"/>
  </r>
  <r>
    <x v="2"/>
    <x v="67"/>
    <x v="2"/>
    <n v="5141"/>
    <n v="0.4"/>
    <n v="0.5"/>
    <n v="1.7"/>
    <n v="3.6"/>
    <n v="6.4"/>
    <n v="10"/>
    <n v="20.100000000000001"/>
    <n v="28.1"/>
    <n v="15.3"/>
    <n v="13.9"/>
    <n v="5"/>
    <n v="7.551000000000001"/>
  </r>
  <r>
    <x v="2"/>
    <x v="68"/>
    <x v="0"/>
    <n v="10192"/>
    <n v="0.3"/>
    <n v="0.2"/>
    <n v="0.7"/>
    <n v="1.9"/>
    <n v="4.5"/>
    <n v="7.7"/>
    <n v="17.899999999999999"/>
    <n v="31.8"/>
    <n v="17.8"/>
    <n v="17.3"/>
    <n v="14.7"/>
    <n v="7.92"/>
  </r>
  <r>
    <x v="2"/>
    <x v="68"/>
    <x v="1"/>
    <n v="5563"/>
    <n v="0.4"/>
    <n v="0.2"/>
    <n v="0.9"/>
    <n v="2"/>
    <n v="5.0999999999999996"/>
    <n v="9"/>
    <n v="18.8"/>
    <n v="31.6"/>
    <n v="16.3"/>
    <n v="15.7"/>
    <n v="14.9"/>
    <n v="7.7910000000000004"/>
  </r>
  <r>
    <x v="2"/>
    <x v="68"/>
    <x v="2"/>
    <n v="4629"/>
    <n v="0.1"/>
    <n v="0.1"/>
    <n v="0.5"/>
    <n v="1.7"/>
    <n v="3.8"/>
    <n v="6.2"/>
    <n v="16.899999999999999"/>
    <n v="32"/>
    <n v="19.600000000000001"/>
    <n v="19.2"/>
    <n v="14.5"/>
    <n v="8.0749999999999993"/>
  </r>
  <r>
    <x v="2"/>
    <x v="69"/>
    <x v="0"/>
    <n v="10596"/>
    <n v="0.3"/>
    <n v="0.2"/>
    <n v="0.9"/>
    <n v="1.8"/>
    <n v="4.3"/>
    <n v="8"/>
    <n v="19.5"/>
    <n v="31"/>
    <n v="17.3"/>
    <n v="16.7"/>
    <n v="11.4"/>
    <n v="7.8730000000000002"/>
  </r>
  <r>
    <x v="2"/>
    <x v="69"/>
    <x v="1"/>
    <n v="5771"/>
    <n v="0.4"/>
    <n v="0.2"/>
    <n v="1.1000000000000001"/>
    <n v="1.9"/>
    <n v="5"/>
    <n v="8.8000000000000007"/>
    <n v="19.899999999999999"/>
    <n v="31"/>
    <n v="16.399999999999999"/>
    <n v="15.3"/>
    <n v="11.8"/>
    <n v="7.774"/>
  </r>
  <r>
    <x v="2"/>
    <x v="69"/>
    <x v="2"/>
    <n v="4825"/>
    <n v="0.1"/>
    <n v="0.1"/>
    <n v="0.6"/>
    <n v="1.7"/>
    <n v="3.3"/>
    <n v="7"/>
    <n v="19"/>
    <n v="31"/>
    <n v="18.5"/>
    <n v="18.5"/>
    <n v="10.9"/>
    <n v="7.9990000000000006"/>
  </r>
  <r>
    <x v="2"/>
    <x v="70"/>
    <x v="0"/>
    <n v="9958"/>
    <n v="0.2"/>
    <n v="0.3"/>
    <n v="0.9"/>
    <n v="2.1"/>
    <n v="4.9000000000000004"/>
    <n v="8.1999999999999993"/>
    <n v="19.899999999999999"/>
    <n v="30.7"/>
    <n v="18"/>
    <n v="14.8"/>
    <n v="16.7"/>
    <n v="7.8049999999999997"/>
  </r>
  <r>
    <x v="2"/>
    <x v="70"/>
    <x v="1"/>
    <n v="5429"/>
    <n v="0.2"/>
    <n v="0.4"/>
    <n v="1"/>
    <n v="2.2000000000000002"/>
    <n v="5.7"/>
    <n v="9"/>
    <n v="20.8"/>
    <n v="30.4"/>
    <n v="17.100000000000001"/>
    <n v="13.3"/>
    <n v="17"/>
    <n v="7.7099999999999991"/>
  </r>
  <r>
    <x v="2"/>
    <x v="70"/>
    <x v="2"/>
    <n v="4529"/>
    <n v="0.1"/>
    <n v="0.3"/>
    <n v="0.7"/>
    <n v="2"/>
    <n v="4"/>
    <n v="7.3"/>
    <n v="18.899999999999999"/>
    <n v="31.1"/>
    <n v="19.100000000000001"/>
    <n v="16.5"/>
    <n v="16.3"/>
    <n v="7.9260000000000002"/>
  </r>
  <r>
    <x v="2"/>
    <x v="71"/>
    <x v="0"/>
    <n v="9756"/>
    <n v="0.2"/>
    <n v="0.2"/>
    <n v="1.1000000000000001"/>
    <n v="2.2000000000000002"/>
    <n v="5.2"/>
    <n v="8.4"/>
    <n v="20.399999999999999"/>
    <n v="30.5"/>
    <n v="16.899999999999999"/>
    <n v="14.8"/>
    <n v="18.399999999999999"/>
    <n v="7.76"/>
  </r>
  <r>
    <x v="2"/>
    <x v="71"/>
    <x v="1"/>
    <n v="5333"/>
    <n v="0.2"/>
    <n v="0.2"/>
    <n v="1.3"/>
    <n v="2.2999999999999998"/>
    <n v="6.1"/>
    <n v="8.9"/>
    <n v="20.9"/>
    <n v="30.4"/>
    <n v="16.600000000000001"/>
    <n v="13.2"/>
    <n v="18.5"/>
    <n v="7.6850000000000005"/>
  </r>
  <r>
    <x v="2"/>
    <x v="71"/>
    <x v="2"/>
    <n v="4423"/>
    <n v="0.1"/>
    <n v="0.2"/>
    <n v="0.9"/>
    <n v="2.1"/>
    <n v="4.2"/>
    <n v="7.7"/>
    <n v="19.8"/>
    <n v="30.8"/>
    <n v="17.3"/>
    <n v="16.899999999999999"/>
    <n v="18.3"/>
    <n v="7.8849999999999998"/>
  </r>
  <r>
    <x v="2"/>
    <x v="72"/>
    <x v="0"/>
    <n v="10355"/>
    <n v="0.4"/>
    <n v="0.3"/>
    <n v="1.1000000000000001"/>
    <n v="2.2000000000000002"/>
    <n v="4.7"/>
    <n v="7"/>
    <n v="17"/>
    <n v="30.3"/>
    <n v="16.3"/>
    <n v="20.7"/>
    <n v="13.4"/>
    <n v="7.9370000000000012"/>
  </r>
  <r>
    <x v="2"/>
    <x v="72"/>
    <x v="1"/>
    <n v="5626"/>
    <n v="0.6"/>
    <n v="0.2"/>
    <n v="1.1000000000000001"/>
    <n v="2.2999999999999998"/>
    <n v="5.2"/>
    <n v="7.9"/>
    <n v="17.399999999999999"/>
    <n v="30.7"/>
    <n v="15.4"/>
    <n v="19.100000000000001"/>
    <n v="14"/>
    <n v="7.8389999999999995"/>
  </r>
  <r>
    <x v="2"/>
    <x v="72"/>
    <x v="2"/>
    <n v="4729"/>
    <n v="0.1"/>
    <n v="0.4"/>
    <n v="1"/>
    <n v="2"/>
    <n v="4.2"/>
    <n v="6"/>
    <n v="16.5"/>
    <n v="29.7"/>
    <n v="17.399999999999999"/>
    <n v="22.7"/>
    <n v="12.6"/>
    <n v="8.0559999999999992"/>
  </r>
  <r>
    <x v="2"/>
    <x v="73"/>
    <x v="0"/>
    <n v="10977"/>
    <n v="0.1"/>
    <n v="0.2"/>
    <n v="0.4"/>
    <n v="1.2"/>
    <n v="3"/>
    <n v="6.6"/>
    <n v="15.4"/>
    <n v="28.8"/>
    <n v="17.7"/>
    <n v="26.7"/>
    <n v="8.1999999999999993"/>
    <n v="8.2560000000000002"/>
  </r>
  <r>
    <x v="2"/>
    <x v="73"/>
    <x v="1"/>
    <n v="5947"/>
    <n v="0.1"/>
    <n v="0.2"/>
    <n v="0.4"/>
    <n v="1.3"/>
    <n v="3.6"/>
    <n v="7.3"/>
    <n v="16.100000000000001"/>
    <n v="29.2"/>
    <n v="17.2"/>
    <n v="24.6"/>
    <n v="9.1"/>
    <n v="8.1580000000000013"/>
  </r>
  <r>
    <x v="2"/>
    <x v="73"/>
    <x v="2"/>
    <n v="5030"/>
    <n v="0.1"/>
    <n v="0.2"/>
    <n v="0.3"/>
    <n v="1.1000000000000001"/>
    <n v="2.2000000000000002"/>
    <n v="5.6"/>
    <n v="14.7"/>
    <n v="28.3"/>
    <n v="18.3"/>
    <n v="29.1"/>
    <n v="7.1"/>
    <n v="8.354000000000001"/>
  </r>
  <r>
    <x v="2"/>
    <x v="74"/>
    <x v="0"/>
    <n v="10168"/>
    <n v="0.1"/>
    <n v="0.3"/>
    <n v="0.7"/>
    <n v="1.8"/>
    <n v="4.8"/>
    <n v="9.1"/>
    <n v="19.899999999999999"/>
    <n v="30.2"/>
    <n v="17"/>
    <n v="16"/>
    <n v="14.9"/>
    <n v="7.8250000000000011"/>
  </r>
  <r>
    <x v="2"/>
    <x v="74"/>
    <x v="1"/>
    <n v="5529"/>
    <n v="0.1"/>
    <n v="0.3"/>
    <n v="0.8"/>
    <n v="2.1"/>
    <n v="5.3"/>
    <n v="10.1"/>
    <n v="20.9"/>
    <n v="29.9"/>
    <n v="15.7"/>
    <n v="14.7"/>
    <n v="15.5"/>
    <n v="7.7239999999999993"/>
  </r>
  <r>
    <x v="2"/>
    <x v="74"/>
    <x v="2"/>
    <n v="4639"/>
    <n v="0.1"/>
    <n v="0.3"/>
    <n v="0.6"/>
    <n v="1.6"/>
    <n v="4.3"/>
    <n v="7.9"/>
    <n v="18.8"/>
    <n v="30.5"/>
    <n v="18.5"/>
    <n v="17.399999999999999"/>
    <n v="14.3"/>
    <n v="7.9390000000000001"/>
  </r>
  <r>
    <x v="2"/>
    <x v="75"/>
    <x v="0"/>
    <n v="9926"/>
    <n v="0.4"/>
    <n v="0.4"/>
    <n v="1.2"/>
    <n v="2.9"/>
    <n v="6.9"/>
    <n v="10.5"/>
    <n v="21.8"/>
    <n v="27.6"/>
    <n v="14.2"/>
    <n v="14.1"/>
    <n v="17"/>
    <n v="7.5609999999999999"/>
  </r>
  <r>
    <x v="2"/>
    <x v="75"/>
    <x v="1"/>
    <n v="5400"/>
    <n v="0.4"/>
    <n v="0.6"/>
    <n v="1.3"/>
    <n v="3.3"/>
    <n v="7.4"/>
    <n v="11.2"/>
    <n v="21.8"/>
    <n v="27.8"/>
    <n v="13.2"/>
    <n v="13"/>
    <n v="17.399999999999999"/>
    <n v="7.4669999999999996"/>
  </r>
  <r>
    <x v="2"/>
    <x v="75"/>
    <x v="2"/>
    <n v="4526"/>
    <n v="0.4"/>
    <n v="0.3"/>
    <n v="1.1000000000000001"/>
    <n v="2.2999999999999998"/>
    <n v="6.3"/>
    <n v="9.6999999999999993"/>
    <n v="21.9"/>
    <n v="27.3"/>
    <n v="15.4"/>
    <n v="15.4"/>
    <n v="16.399999999999999"/>
    <n v="7.6750000000000007"/>
  </r>
  <r>
    <x v="2"/>
    <x v="76"/>
    <x v="0"/>
    <n v="10761"/>
    <n v="0.4"/>
    <n v="0.5"/>
    <n v="1.2"/>
    <n v="3"/>
    <n v="6.1"/>
    <n v="9.3000000000000007"/>
    <n v="20.3"/>
    <n v="28.8"/>
    <n v="16.5"/>
    <n v="13.9"/>
    <n v="10"/>
    <n v="7.633"/>
  </r>
  <r>
    <x v="2"/>
    <x v="76"/>
    <x v="1"/>
    <n v="5876"/>
    <n v="0.3"/>
    <n v="0.6"/>
    <n v="1.4"/>
    <n v="3.6"/>
    <n v="6.5"/>
    <n v="9.9"/>
    <n v="21.5"/>
    <n v="27.9"/>
    <n v="15.6"/>
    <n v="12.7"/>
    <n v="10.199999999999999"/>
    <n v="7.5309999999999988"/>
  </r>
  <r>
    <x v="2"/>
    <x v="76"/>
    <x v="2"/>
    <n v="4885"/>
    <n v="0.5"/>
    <n v="0.4"/>
    <n v="0.9"/>
    <n v="2.4"/>
    <n v="5.6"/>
    <n v="8.6"/>
    <n v="18.8"/>
    <n v="29.8"/>
    <n v="17.7"/>
    <n v="15.3"/>
    <n v="9.8000000000000007"/>
    <n v="7.7549999999999999"/>
  </r>
  <r>
    <x v="2"/>
    <x v="77"/>
    <x v="0"/>
    <n v="10781"/>
    <n v="0.4"/>
    <n v="0.5"/>
    <n v="1.3"/>
    <n v="3.4"/>
    <n v="6.4"/>
    <n v="9.9"/>
    <n v="19.899999999999999"/>
    <n v="29.8"/>
    <n v="15.6"/>
    <n v="12.7"/>
    <n v="9.8000000000000007"/>
    <n v="7.5540000000000003"/>
  </r>
  <r>
    <x v="2"/>
    <x v="77"/>
    <x v="1"/>
    <n v="5874"/>
    <n v="0.5"/>
    <n v="0.5"/>
    <n v="1.4"/>
    <n v="3.9"/>
    <n v="6.7"/>
    <n v="10.3"/>
    <n v="20.7"/>
    <n v="29.8"/>
    <n v="14.6"/>
    <n v="11.6"/>
    <n v="10.199999999999999"/>
    <n v="7.4730000000000008"/>
  </r>
  <r>
    <x v="2"/>
    <x v="77"/>
    <x v="2"/>
    <n v="4907"/>
    <n v="0.4"/>
    <n v="0.5"/>
    <n v="1.1000000000000001"/>
    <n v="2.9"/>
    <n v="6"/>
    <n v="9.4"/>
    <n v="19"/>
    <n v="29.8"/>
    <n v="16.899999999999999"/>
    <n v="14.1"/>
    <n v="9.3000000000000007"/>
    <n v="7.6719999999999997"/>
  </r>
  <r>
    <x v="2"/>
    <x v="78"/>
    <x v="0"/>
    <n v="10923"/>
    <n v="0.7"/>
    <n v="0.7"/>
    <n v="1.4"/>
    <n v="3.8"/>
    <n v="5.8"/>
    <n v="10"/>
    <n v="20.399999999999999"/>
    <n v="29.9"/>
    <n v="14.7"/>
    <n v="12.5"/>
    <n v="8.6"/>
    <n v="7.4979999999999993"/>
  </r>
  <r>
    <x v="2"/>
    <x v="78"/>
    <x v="1"/>
    <n v="5962"/>
    <n v="0.8"/>
    <n v="0.7"/>
    <n v="1.6"/>
    <n v="3.9"/>
    <n v="6.4"/>
    <n v="10.3"/>
    <n v="21"/>
    <n v="29.8"/>
    <n v="13.9"/>
    <n v="11.4"/>
    <n v="8.8000000000000007"/>
    <n v="7.4090000000000007"/>
  </r>
  <r>
    <x v="2"/>
    <x v="78"/>
    <x v="2"/>
    <n v="4961"/>
    <n v="0.7"/>
    <n v="0.6"/>
    <n v="1.2"/>
    <n v="3.6"/>
    <n v="5.0999999999999996"/>
    <n v="9.6"/>
    <n v="19.8"/>
    <n v="30"/>
    <n v="15.7"/>
    <n v="13.7"/>
    <n v="8.4"/>
    <n v="7.5989999999999993"/>
  </r>
  <r>
    <x v="2"/>
    <x v="79"/>
    <x v="0"/>
    <n v="11494"/>
    <n v="0.4"/>
    <n v="0.3"/>
    <n v="1.1000000000000001"/>
    <n v="2.7"/>
    <n v="5.7"/>
    <n v="8.6"/>
    <n v="18.3"/>
    <n v="29.1"/>
    <n v="18.5"/>
    <n v="15.1"/>
    <n v="3.8"/>
    <n v="7.7359999999999998"/>
  </r>
  <r>
    <x v="2"/>
    <x v="79"/>
    <x v="1"/>
    <n v="6302"/>
    <n v="0.4"/>
    <n v="0.3"/>
    <n v="1.3"/>
    <n v="3.1"/>
    <n v="6.2"/>
    <n v="8.8000000000000007"/>
    <n v="18.8"/>
    <n v="29.1"/>
    <n v="17.8"/>
    <n v="14.3"/>
    <n v="3.6"/>
    <n v="7.6870000000000003"/>
  </r>
  <r>
    <x v="2"/>
    <x v="79"/>
    <x v="2"/>
    <n v="5192"/>
    <n v="0.4"/>
    <n v="0.3"/>
    <n v="0.9"/>
    <n v="2.2999999999999998"/>
    <n v="5.2"/>
    <n v="8.4"/>
    <n v="17.600000000000001"/>
    <n v="29.2"/>
    <n v="19.399999999999999"/>
    <n v="16.2"/>
    <n v="4.0999999999999996"/>
    <n v="7.8270000000000008"/>
  </r>
  <r>
    <x v="2"/>
    <x v="80"/>
    <x v="0"/>
    <n v="10511"/>
    <n v="0.1"/>
    <n v="0.2"/>
    <n v="0.8"/>
    <n v="2.6"/>
    <n v="4.8"/>
    <n v="8"/>
    <n v="18.7"/>
    <n v="28.5"/>
    <n v="19.2"/>
    <n v="17.100000000000001"/>
    <n v="12.1"/>
    <n v="7.88"/>
  </r>
  <r>
    <x v="2"/>
    <x v="80"/>
    <x v="1"/>
    <n v="5718"/>
    <n v="0"/>
    <n v="0.1"/>
    <n v="0.5"/>
    <n v="2.7"/>
    <n v="5.0999999999999996"/>
    <n v="8.5"/>
    <n v="19.100000000000001"/>
    <n v="28.8"/>
    <n v="18.5"/>
    <n v="16.5"/>
    <n v="12.6"/>
    <n v="7.8460000000000001"/>
  </r>
  <r>
    <x v="2"/>
    <x v="80"/>
    <x v="2"/>
    <n v="4793"/>
    <n v="0.1"/>
    <n v="0.3"/>
    <n v="1.1000000000000001"/>
    <n v="2.5"/>
    <n v="4.4000000000000004"/>
    <n v="7.4"/>
    <n v="18.100000000000001"/>
    <n v="28.2"/>
    <n v="20.100000000000001"/>
    <n v="17.899999999999999"/>
    <n v="11.5"/>
    <n v="7.9260000000000002"/>
  </r>
  <r>
    <x v="2"/>
    <x v="81"/>
    <x v="0"/>
    <n v="9960"/>
    <n v="0.2"/>
    <n v="0.3"/>
    <n v="1.3"/>
    <n v="3.5"/>
    <n v="6"/>
    <n v="9.4"/>
    <n v="21.4"/>
    <n v="28.9"/>
    <n v="16.600000000000001"/>
    <n v="12.4"/>
    <n v="16.7"/>
    <n v="7.5949999999999998"/>
  </r>
  <r>
    <x v="2"/>
    <x v="81"/>
    <x v="1"/>
    <n v="5398"/>
    <n v="0.2"/>
    <n v="0.3"/>
    <n v="1.5"/>
    <n v="3.6"/>
    <n v="6.8"/>
    <n v="9.6"/>
    <n v="22.5"/>
    <n v="28.7"/>
    <n v="15.3"/>
    <n v="11.6"/>
    <n v="17.5"/>
    <n v="7.5210000000000008"/>
  </r>
  <r>
    <x v="2"/>
    <x v="81"/>
    <x v="2"/>
    <n v="4562"/>
    <n v="0.2"/>
    <n v="0.3"/>
    <n v="1"/>
    <n v="3.4"/>
    <n v="5.0999999999999996"/>
    <n v="9.1999999999999993"/>
    <n v="20.100000000000001"/>
    <n v="29.1"/>
    <n v="18.2"/>
    <n v="13.4"/>
    <n v="15.7"/>
    <n v="7.6940000000000008"/>
  </r>
  <r>
    <x v="2"/>
    <x v="82"/>
    <x v="0"/>
    <n v="11556"/>
    <n v="0.6"/>
    <n v="0.3"/>
    <n v="1.1000000000000001"/>
    <n v="1.9"/>
    <n v="4"/>
    <n v="7"/>
    <n v="16.399999999999999"/>
    <n v="27"/>
    <n v="18.100000000000001"/>
    <n v="23.5"/>
    <n v="3.3"/>
    <n v="8.0279999999999987"/>
  </r>
  <r>
    <x v="2"/>
    <x v="82"/>
    <x v="1"/>
    <n v="6312"/>
    <n v="0.6"/>
    <n v="0.4"/>
    <n v="1.2"/>
    <n v="1.9"/>
    <n v="4.2"/>
    <n v="7.1"/>
    <n v="17"/>
    <n v="27.1"/>
    <n v="17.899999999999999"/>
    <n v="22.6"/>
    <n v="3.5"/>
    <n v="7.9909999999999997"/>
  </r>
  <r>
    <x v="2"/>
    <x v="82"/>
    <x v="2"/>
    <n v="5244"/>
    <n v="0.6"/>
    <n v="0.3"/>
    <n v="0.9"/>
    <n v="1.9"/>
    <n v="3.9"/>
    <n v="6.9"/>
    <n v="15.8"/>
    <n v="27"/>
    <n v="18.3"/>
    <n v="24.5"/>
    <n v="3.1"/>
    <n v="8.0869999999999997"/>
  </r>
  <r>
    <x v="3"/>
    <x v="0"/>
    <x v="0"/>
    <n v="11918"/>
    <n v="0"/>
    <n v="0"/>
    <n v="0"/>
    <n v="1.6"/>
    <n v="4.5999999999999996"/>
    <n v="8.4"/>
    <n v="39.799999999999997"/>
    <n v="19.5"/>
    <n v="14.2"/>
    <n v="11.8"/>
    <n v="0.1"/>
    <n v="7.6020000000000003"/>
  </r>
  <r>
    <x v="3"/>
    <x v="0"/>
    <x v="1"/>
    <n v="6544"/>
    <n v="0"/>
    <n v="0"/>
    <n v="0"/>
    <n v="1.9"/>
    <n v="5.3"/>
    <n v="8.9"/>
    <n v="42.6"/>
    <n v="17.5"/>
    <n v="13.5"/>
    <n v="10.3"/>
    <n v="0.2"/>
    <n v="7.5019999999999998"/>
  </r>
  <r>
    <x v="3"/>
    <x v="0"/>
    <x v="2"/>
    <n v="5374"/>
    <n v="0"/>
    <n v="0.1"/>
    <n v="0"/>
    <n v="1.3"/>
    <n v="3.8"/>
    <n v="7.8"/>
    <n v="36.4"/>
    <n v="21.9"/>
    <n v="15"/>
    <n v="13.7"/>
    <n v="0"/>
    <n v="7.7320000000000002"/>
  </r>
  <r>
    <x v="3"/>
    <x v="1"/>
    <x v="0"/>
    <n v="11903"/>
    <n v="0"/>
    <n v="0"/>
    <n v="0.2"/>
    <n v="2.1"/>
    <n v="4.9000000000000004"/>
    <n v="10.4"/>
    <n v="28.8"/>
    <n v="26.7"/>
    <n v="16.399999999999999"/>
    <n v="10.5"/>
    <n v="0.2"/>
    <n v="7.6370000000000005"/>
  </r>
  <r>
    <x v="3"/>
    <x v="1"/>
    <x v="1"/>
    <n v="6539"/>
    <n v="0"/>
    <n v="0"/>
    <n v="0.2"/>
    <n v="2.5"/>
    <n v="5.3"/>
    <n v="11.5"/>
    <n v="29.5"/>
    <n v="26.4"/>
    <n v="15.4"/>
    <n v="9.1999999999999993"/>
    <n v="0.3"/>
    <n v="7.5439999999999996"/>
  </r>
  <r>
    <x v="3"/>
    <x v="1"/>
    <x v="2"/>
    <n v="5364"/>
    <n v="0"/>
    <n v="0"/>
    <n v="0.2"/>
    <n v="1.7"/>
    <n v="4.4000000000000004"/>
    <n v="9"/>
    <n v="27.9"/>
    <n v="27.1"/>
    <n v="17.600000000000001"/>
    <n v="12.1"/>
    <n v="0.2"/>
    <n v="7.7489999999999997"/>
  </r>
  <r>
    <x v="3"/>
    <x v="2"/>
    <x v="0"/>
    <n v="11888"/>
    <n v="0.2"/>
    <n v="0.3"/>
    <n v="1.6"/>
    <n v="4"/>
    <n v="7.2"/>
    <n v="11"/>
    <n v="24.8"/>
    <n v="23.5"/>
    <n v="16.3"/>
    <n v="11.1"/>
    <n v="0.4"/>
    <n v="7.4290000000000012"/>
  </r>
  <r>
    <x v="3"/>
    <x v="2"/>
    <x v="1"/>
    <n v="6529"/>
    <n v="0.2"/>
    <n v="0.2"/>
    <n v="1.7"/>
    <n v="4.3"/>
    <n v="7.8"/>
    <n v="11.9"/>
    <n v="25.6"/>
    <n v="22.7"/>
    <n v="15.3"/>
    <n v="10.199999999999999"/>
    <n v="0.4"/>
    <n v="7.338000000000001"/>
  </r>
  <r>
    <x v="3"/>
    <x v="2"/>
    <x v="2"/>
    <n v="5359"/>
    <n v="0.2"/>
    <n v="0.3"/>
    <n v="1.4"/>
    <n v="3.7"/>
    <n v="6.5"/>
    <n v="9.8000000000000007"/>
    <n v="23.8"/>
    <n v="24.5"/>
    <n v="17.399999999999999"/>
    <n v="12.2"/>
    <n v="0.3"/>
    <n v="7.5229999999999997"/>
  </r>
  <r>
    <x v="3"/>
    <x v="3"/>
    <x v="0"/>
    <n v="11626"/>
    <n v="0"/>
    <n v="0"/>
    <n v="0.2"/>
    <n v="5.2"/>
    <n v="7.8"/>
    <n v="13.5"/>
    <n v="36.5"/>
    <n v="18.600000000000001"/>
    <n v="12.6"/>
    <n v="5.7"/>
    <n v="2.6"/>
    <n v="7.1610000000000014"/>
  </r>
  <r>
    <x v="3"/>
    <x v="3"/>
    <x v="1"/>
    <n v="6398"/>
    <n v="0"/>
    <n v="0"/>
    <n v="0.2"/>
    <n v="5.8"/>
    <n v="8.5"/>
    <n v="14"/>
    <n v="38.4"/>
    <n v="16.899999999999999"/>
    <n v="11.3"/>
    <n v="4.9000000000000004"/>
    <n v="2.4"/>
    <n v="7.0500000000000016"/>
  </r>
  <r>
    <x v="3"/>
    <x v="3"/>
    <x v="2"/>
    <n v="5228"/>
    <n v="0"/>
    <n v="0"/>
    <n v="0.2"/>
    <n v="4.5"/>
    <n v="6.9"/>
    <n v="12.9"/>
    <n v="34.200000000000003"/>
    <n v="20.6"/>
    <n v="14.1"/>
    <n v="6.7"/>
    <n v="2.7"/>
    <n v="7.2859999999999996"/>
  </r>
  <r>
    <x v="3"/>
    <x v="45"/>
    <x v="0"/>
    <n v="9804"/>
    <n v="0.1"/>
    <n v="0.1"/>
    <n v="1"/>
    <n v="1.6"/>
    <n v="3.9"/>
    <n v="8.1999999999999993"/>
    <n v="22.1"/>
    <n v="27.8"/>
    <n v="18.7"/>
    <n v="16.5"/>
    <n v="17.8"/>
    <n v="7.8879999999999999"/>
  </r>
  <r>
    <x v="3"/>
    <x v="45"/>
    <x v="1"/>
    <n v="5392"/>
    <n v="0.1"/>
    <n v="0.1"/>
    <n v="1.1000000000000001"/>
    <n v="1.7"/>
    <n v="4.4000000000000004"/>
    <n v="9.1"/>
    <n v="23.2"/>
    <n v="27"/>
    <n v="18.100000000000001"/>
    <n v="15.2"/>
    <n v="17.8"/>
    <n v="7.802999999999999"/>
  </r>
  <r>
    <x v="3"/>
    <x v="45"/>
    <x v="2"/>
    <n v="4412"/>
    <n v="0.2"/>
    <n v="0.1"/>
    <n v="1"/>
    <n v="1.5"/>
    <n v="3.4"/>
    <n v="7.1"/>
    <n v="20.7"/>
    <n v="28.7"/>
    <n v="19.399999999999999"/>
    <n v="18"/>
    <n v="17.899999999999999"/>
    <n v="7.9810000000000008"/>
  </r>
  <r>
    <x v="3"/>
    <x v="46"/>
    <x v="0"/>
    <n v="11890"/>
    <n v="0.1"/>
    <n v="0"/>
    <n v="0.2"/>
    <n v="0.5"/>
    <n v="1.4"/>
    <n v="3.4"/>
    <n v="11.2"/>
    <n v="26.8"/>
    <n v="22.8"/>
    <n v="33.700000000000003"/>
    <n v="0.3"/>
    <n v="8.6509999999999998"/>
  </r>
  <r>
    <x v="3"/>
    <x v="46"/>
    <x v="1"/>
    <n v="6530"/>
    <n v="0.1"/>
    <n v="0"/>
    <n v="0.2"/>
    <n v="0.6"/>
    <n v="1.7"/>
    <n v="3.9"/>
    <n v="12.1"/>
    <n v="27.5"/>
    <n v="22"/>
    <n v="31.9"/>
    <n v="0.4"/>
    <n v="8.5670000000000002"/>
  </r>
  <r>
    <x v="3"/>
    <x v="46"/>
    <x v="2"/>
    <n v="5360"/>
    <n v="0.1"/>
    <n v="0"/>
    <n v="0.2"/>
    <n v="0.4"/>
    <n v="1.1000000000000001"/>
    <n v="2.7"/>
    <n v="10"/>
    <n v="25.8"/>
    <n v="23.7"/>
    <n v="35.9"/>
    <n v="0.3"/>
    <n v="8.7270000000000003"/>
  </r>
  <r>
    <x v="3"/>
    <x v="47"/>
    <x v="0"/>
    <n v="11718"/>
    <n v="0.1"/>
    <n v="0"/>
    <n v="0.3"/>
    <n v="0.9"/>
    <n v="2.6"/>
    <n v="5.0999999999999996"/>
    <n v="12.7"/>
    <n v="27"/>
    <n v="22.6"/>
    <n v="28.8"/>
    <n v="1.8"/>
    <n v="8.4450000000000003"/>
  </r>
  <r>
    <x v="3"/>
    <x v="47"/>
    <x v="1"/>
    <n v="6441"/>
    <n v="0.1"/>
    <n v="0"/>
    <n v="0.4"/>
    <n v="1"/>
    <n v="3.1"/>
    <n v="5.7"/>
    <n v="13.8"/>
    <n v="26.9"/>
    <n v="21.9"/>
    <n v="27.1"/>
    <n v="1.8"/>
    <n v="8.3490000000000002"/>
  </r>
  <r>
    <x v="3"/>
    <x v="47"/>
    <x v="2"/>
    <n v="5277"/>
    <n v="0.1"/>
    <n v="0"/>
    <n v="0.2"/>
    <n v="0.8"/>
    <n v="1.9"/>
    <n v="4.3"/>
    <n v="11.4"/>
    <n v="27.1"/>
    <n v="23.4"/>
    <n v="30.8"/>
    <n v="1.8"/>
    <n v="8.5440000000000005"/>
  </r>
  <r>
    <x v="3"/>
    <x v="48"/>
    <x v="0"/>
    <n v="9328"/>
    <n v="0.2"/>
    <n v="0.2"/>
    <n v="0.8"/>
    <n v="1.7"/>
    <n v="3"/>
    <n v="5.8"/>
    <n v="13.7"/>
    <n v="27.3"/>
    <n v="21.6"/>
    <n v="25.8"/>
    <n v="21.8"/>
    <n v="8.2629999999999999"/>
  </r>
  <r>
    <x v="3"/>
    <x v="48"/>
    <x v="1"/>
    <n v="5117"/>
    <n v="0.2"/>
    <n v="0.3"/>
    <n v="0.9"/>
    <n v="1.8"/>
    <n v="3.6"/>
    <n v="6.5"/>
    <n v="14.5"/>
    <n v="27.5"/>
    <n v="20.100000000000001"/>
    <n v="24.6"/>
    <n v="21.9"/>
    <n v="8.1610000000000014"/>
  </r>
  <r>
    <x v="3"/>
    <x v="48"/>
    <x v="2"/>
    <n v="4211"/>
    <n v="0.2"/>
    <n v="0.1"/>
    <n v="0.8"/>
    <n v="1.4"/>
    <n v="2.2999999999999998"/>
    <n v="4.9000000000000004"/>
    <n v="12.6"/>
    <n v="27.1"/>
    <n v="23.3"/>
    <n v="27.2"/>
    <n v="21.7"/>
    <n v="8.3600000000000012"/>
  </r>
  <r>
    <x v="3"/>
    <x v="49"/>
    <x v="0"/>
    <n v="11646"/>
    <n v="0"/>
    <n v="0"/>
    <n v="0.1"/>
    <n v="3.2"/>
    <n v="7.5"/>
    <n v="13.2"/>
    <n v="37.5"/>
    <n v="19.100000000000001"/>
    <n v="13.1"/>
    <n v="6.2"/>
    <n v="2.4"/>
    <n v="7.2500000000000009"/>
  </r>
  <r>
    <x v="3"/>
    <x v="49"/>
    <x v="1"/>
    <n v="6413"/>
    <n v="0"/>
    <n v="0"/>
    <n v="0.2"/>
    <n v="3.4"/>
    <n v="8.3000000000000007"/>
    <n v="13.7"/>
    <n v="39.299999999999997"/>
    <n v="17.8"/>
    <n v="11.9"/>
    <n v="5.4"/>
    <n v="2.2000000000000002"/>
    <n v="7.165"/>
  </r>
  <r>
    <x v="3"/>
    <x v="49"/>
    <x v="2"/>
    <n v="5233"/>
    <n v="0"/>
    <n v="0"/>
    <n v="0"/>
    <n v="3"/>
    <n v="6.5"/>
    <n v="12.5"/>
    <n v="35.4"/>
    <n v="20.7"/>
    <n v="14.5"/>
    <n v="7.2"/>
    <n v="2.6"/>
    <n v="7.3539999999999992"/>
  </r>
  <r>
    <x v="3"/>
    <x v="56"/>
    <x v="0"/>
    <n v="11842"/>
    <n v="0.2"/>
    <n v="0.2"/>
    <n v="1"/>
    <n v="2.2999999999999998"/>
    <n v="5"/>
    <n v="10.9"/>
    <n v="25.8"/>
    <n v="27.6"/>
    <n v="17.3"/>
    <n v="9.8000000000000007"/>
    <n v="0.7"/>
    <n v="7.5830000000000002"/>
  </r>
  <r>
    <x v="3"/>
    <x v="56"/>
    <x v="1"/>
    <n v="6510"/>
    <n v="0.2"/>
    <n v="0.3"/>
    <n v="1"/>
    <n v="2.6"/>
    <n v="5.3"/>
    <n v="11.5"/>
    <n v="27"/>
    <n v="26.9"/>
    <n v="16.5"/>
    <n v="8.8000000000000007"/>
    <n v="0.7"/>
    <n v="7.5039999999999996"/>
  </r>
  <r>
    <x v="3"/>
    <x v="56"/>
    <x v="2"/>
    <n v="5332"/>
    <n v="0.2"/>
    <n v="0.1"/>
    <n v="0.9"/>
    <n v="1.9"/>
    <n v="4.8"/>
    <n v="10.1"/>
    <n v="24.3"/>
    <n v="28.6"/>
    <n v="18.2"/>
    <n v="11"/>
    <n v="0.8"/>
    <n v="7.68"/>
  </r>
  <r>
    <x v="3"/>
    <x v="57"/>
    <x v="0"/>
    <n v="11859"/>
    <n v="0.4"/>
    <n v="0.3"/>
    <n v="1.7"/>
    <n v="2.4"/>
    <n v="6.7"/>
    <n v="12.5"/>
    <n v="23.1"/>
    <n v="27.6"/>
    <n v="16.7"/>
    <n v="8.6"/>
    <n v="0.6"/>
    <n v="7.4300000000000006"/>
  </r>
  <r>
    <x v="3"/>
    <x v="57"/>
    <x v="1"/>
    <n v="6509"/>
    <n v="0.5"/>
    <n v="0.3"/>
    <n v="1.8"/>
    <n v="2.9"/>
    <n v="7.6"/>
    <n v="14"/>
    <n v="24"/>
    <n v="26.7"/>
    <n v="15.5"/>
    <n v="6.7"/>
    <n v="0.7"/>
    <n v="7.282"/>
  </r>
  <r>
    <x v="3"/>
    <x v="57"/>
    <x v="2"/>
    <n v="5350"/>
    <n v="0.4"/>
    <n v="0.3"/>
    <n v="1.5"/>
    <n v="1.8"/>
    <n v="5.6"/>
    <n v="10.8"/>
    <n v="21.9"/>
    <n v="28.6"/>
    <n v="18.2"/>
    <n v="10.8"/>
    <n v="0.5"/>
    <n v="7.5940000000000003"/>
  </r>
  <r>
    <x v="3"/>
    <x v="58"/>
    <x v="0"/>
    <n v="11864"/>
    <n v="0.9"/>
    <n v="1.2"/>
    <n v="3.2"/>
    <n v="3.3"/>
    <n v="7.5"/>
    <n v="13.2"/>
    <n v="20.8"/>
    <n v="25.1"/>
    <n v="15.8"/>
    <n v="9.1"/>
    <n v="0.6"/>
    <n v="7.2240000000000002"/>
  </r>
  <r>
    <x v="3"/>
    <x v="58"/>
    <x v="1"/>
    <n v="6517"/>
    <n v="1"/>
    <n v="1.5"/>
    <n v="3.8"/>
    <n v="3.6"/>
    <n v="8.6"/>
    <n v="14.8"/>
    <n v="21.1"/>
    <n v="23.5"/>
    <n v="14.8"/>
    <n v="7.2"/>
    <n v="0.6"/>
    <n v="7.0249999999999995"/>
  </r>
  <r>
    <x v="3"/>
    <x v="58"/>
    <x v="2"/>
    <n v="5347"/>
    <n v="0.7"/>
    <n v="0.8"/>
    <n v="2.4"/>
    <n v="3"/>
    <n v="6.2"/>
    <n v="11.2"/>
    <n v="20.3"/>
    <n v="27"/>
    <n v="17.100000000000001"/>
    <n v="11.3"/>
    <n v="0.5"/>
    <n v="7.4470000000000001"/>
  </r>
  <r>
    <x v="3"/>
    <x v="59"/>
    <x v="0"/>
    <n v="11867"/>
    <n v="1.3"/>
    <n v="1.5"/>
    <n v="3.7"/>
    <n v="5"/>
    <n v="9"/>
    <n v="11.7"/>
    <n v="19.100000000000001"/>
    <n v="23.5"/>
    <n v="14"/>
    <n v="11.2"/>
    <n v="0.5"/>
    <n v="7.1029999999999998"/>
  </r>
  <r>
    <x v="3"/>
    <x v="59"/>
    <x v="1"/>
    <n v="6516"/>
    <n v="1.4"/>
    <n v="1.6"/>
    <n v="4.2"/>
    <n v="5.2"/>
    <n v="9.6"/>
    <n v="13"/>
    <n v="19.899999999999999"/>
    <n v="22.4"/>
    <n v="12.8"/>
    <n v="9.8000000000000007"/>
    <n v="0.6"/>
    <n v="6.956999999999999"/>
  </r>
  <r>
    <x v="3"/>
    <x v="59"/>
    <x v="2"/>
    <n v="5351"/>
    <n v="1.2"/>
    <n v="1.4"/>
    <n v="3.1"/>
    <n v="4.7"/>
    <n v="8.1999999999999993"/>
    <n v="10.199999999999999"/>
    <n v="18.100000000000001"/>
    <n v="24.8"/>
    <n v="15.5"/>
    <n v="12.8"/>
    <n v="0.4"/>
    <n v="7.269000000000001"/>
  </r>
  <r>
    <x v="3"/>
    <x v="60"/>
    <x v="0"/>
    <n v="11824"/>
    <n v="0.3"/>
    <n v="0.3"/>
    <n v="1.6"/>
    <n v="2.8"/>
    <n v="5.8"/>
    <n v="10.7"/>
    <n v="23.1"/>
    <n v="29.3"/>
    <n v="15.1"/>
    <n v="10.9"/>
    <n v="0.9"/>
    <n v="7.5109999999999992"/>
  </r>
  <r>
    <x v="3"/>
    <x v="60"/>
    <x v="1"/>
    <n v="6499"/>
    <n v="0.3"/>
    <n v="0.5"/>
    <n v="2.4"/>
    <n v="3.6"/>
    <n v="7"/>
    <n v="12.6"/>
    <n v="24.8"/>
    <n v="27.3"/>
    <n v="13.7"/>
    <n v="7.8"/>
    <n v="0.9"/>
    <n v="7.2679999999999998"/>
  </r>
  <r>
    <x v="3"/>
    <x v="60"/>
    <x v="2"/>
    <n v="5325"/>
    <n v="0.3"/>
    <n v="0.1"/>
    <n v="0.8"/>
    <n v="1.8"/>
    <n v="4.3"/>
    <n v="8.5"/>
    <n v="21"/>
    <n v="31.8"/>
    <n v="16.8"/>
    <n v="14.6"/>
    <n v="0.9"/>
    <n v="7.8120000000000003"/>
  </r>
  <r>
    <x v="3"/>
    <x v="61"/>
    <x v="0"/>
    <n v="10153"/>
    <n v="8.1"/>
    <n v="3.2"/>
    <n v="10.1"/>
    <n v="9.6999999999999993"/>
    <n v="10.4"/>
    <n v="10.1"/>
    <n v="17.3"/>
    <n v="19.7"/>
    <n v="8.3000000000000007"/>
    <n v="3.3"/>
    <n v="14.9"/>
    <n v="5.8259999999999996"/>
  </r>
  <r>
    <x v="3"/>
    <x v="61"/>
    <x v="1"/>
    <n v="5518"/>
    <n v="8.6"/>
    <n v="3.9"/>
    <n v="10.9"/>
    <n v="9.5"/>
    <n v="10.9"/>
    <n v="10.5"/>
    <n v="16.2"/>
    <n v="18.7"/>
    <n v="7.7"/>
    <n v="3"/>
    <n v="15.8"/>
    <n v="5.6689999999999996"/>
  </r>
  <r>
    <x v="3"/>
    <x v="61"/>
    <x v="2"/>
    <n v="4635"/>
    <n v="7.4"/>
    <n v="2.2999999999999998"/>
    <n v="9"/>
    <n v="9.8000000000000007"/>
    <n v="9.6999999999999993"/>
    <n v="9.6999999999999993"/>
    <n v="18.600000000000001"/>
    <n v="20.8"/>
    <n v="9"/>
    <n v="3.6"/>
    <n v="13.8"/>
    <n v="5.9850000000000003"/>
  </r>
  <r>
    <x v="3"/>
    <x v="62"/>
    <x v="0"/>
    <n v="10238"/>
    <n v="9.6"/>
    <n v="4.5999999999999996"/>
    <n v="12.4"/>
    <n v="8.8000000000000007"/>
    <n v="9.5"/>
    <n v="9.1999999999999993"/>
    <n v="15.1"/>
    <n v="17.7"/>
    <n v="7.7"/>
    <n v="5.3"/>
    <n v="14.2"/>
    <n v="5.6349999999999998"/>
  </r>
  <r>
    <x v="3"/>
    <x v="62"/>
    <x v="1"/>
    <n v="5588"/>
    <n v="9.6"/>
    <n v="5.5"/>
    <n v="13.3"/>
    <n v="9.1"/>
    <n v="10.3"/>
    <n v="9.3000000000000007"/>
    <n v="14.8"/>
    <n v="16.600000000000001"/>
    <n v="6.6"/>
    <n v="4.9000000000000004"/>
    <n v="14.8"/>
    <n v="5.49"/>
  </r>
  <r>
    <x v="3"/>
    <x v="62"/>
    <x v="2"/>
    <n v="4650"/>
    <n v="9.5"/>
    <n v="3.6"/>
    <n v="11.3"/>
    <n v="8.5"/>
    <n v="8.5"/>
    <n v="9.1999999999999993"/>
    <n v="15.6"/>
    <n v="19"/>
    <n v="9"/>
    <n v="5.8"/>
    <n v="13.5"/>
    <n v="5.8250000000000011"/>
  </r>
  <r>
    <x v="3"/>
    <x v="63"/>
    <x v="0"/>
    <n v="11727"/>
    <n v="0.7"/>
    <n v="0.4"/>
    <n v="1.5"/>
    <n v="3.4"/>
    <n v="6.5"/>
    <n v="12.1"/>
    <n v="22.4"/>
    <n v="26.8"/>
    <n v="15.3"/>
    <n v="10.9"/>
    <n v="1.7"/>
    <n v="7.4260000000000002"/>
  </r>
  <r>
    <x v="3"/>
    <x v="63"/>
    <x v="1"/>
    <n v="6433"/>
    <n v="0.8"/>
    <n v="0.5"/>
    <n v="1.8"/>
    <n v="3.7"/>
    <n v="6.8"/>
    <n v="13.7"/>
    <n v="23"/>
    <n v="25.3"/>
    <n v="14.3"/>
    <n v="9.9"/>
    <n v="1.9"/>
    <n v="7.2930000000000001"/>
  </r>
  <r>
    <x v="3"/>
    <x v="63"/>
    <x v="2"/>
    <n v="5294"/>
    <n v="0.5"/>
    <n v="0.3"/>
    <n v="1.1000000000000001"/>
    <n v="3"/>
    <n v="6.1"/>
    <n v="10"/>
    <n v="21.7"/>
    <n v="28.6"/>
    <n v="16.600000000000001"/>
    <n v="12.1"/>
    <n v="1.5"/>
    <n v="7.58"/>
  </r>
  <r>
    <x v="3"/>
    <x v="64"/>
    <x v="0"/>
    <n v="11595"/>
    <n v="0.9"/>
    <n v="0.8"/>
    <n v="3.6"/>
    <n v="4.5"/>
    <n v="8"/>
    <n v="12.4"/>
    <n v="22.8"/>
    <n v="24.8"/>
    <n v="13.5"/>
    <n v="8.6999999999999993"/>
    <n v="2.8"/>
    <n v="7.1219999999999999"/>
  </r>
  <r>
    <x v="3"/>
    <x v="64"/>
    <x v="1"/>
    <n v="6402"/>
    <n v="1.1000000000000001"/>
    <n v="1"/>
    <n v="3.7"/>
    <n v="4.9000000000000004"/>
    <n v="9.3000000000000007"/>
    <n v="13.3"/>
    <n v="23.9"/>
    <n v="23.6"/>
    <n v="12.1"/>
    <n v="7.2"/>
    <n v="2.2999999999999998"/>
    <n v="6.9709999999999992"/>
  </r>
  <r>
    <x v="3"/>
    <x v="64"/>
    <x v="2"/>
    <n v="5193"/>
    <n v="0.8"/>
    <n v="0.6"/>
    <n v="3.4"/>
    <n v="3.9"/>
    <n v="6.5"/>
    <n v="11.4"/>
    <n v="21.4"/>
    <n v="26.2"/>
    <n v="15.3"/>
    <n v="10.5"/>
    <n v="3.4"/>
    <n v="7.3080000000000007"/>
  </r>
  <r>
    <x v="3"/>
    <x v="65"/>
    <x v="0"/>
    <n v="11372"/>
    <n v="0.2"/>
    <n v="0.4"/>
    <n v="1.2"/>
    <n v="2.7"/>
    <n v="6.2"/>
    <n v="10.4"/>
    <n v="20.8"/>
    <n v="29.1"/>
    <n v="17.5"/>
    <n v="11.7"/>
    <n v="4.7"/>
    <n v="7.617"/>
  </r>
  <r>
    <x v="3"/>
    <x v="65"/>
    <x v="1"/>
    <n v="6269"/>
    <n v="0.2"/>
    <n v="0.4"/>
    <n v="1.3"/>
    <n v="2.9"/>
    <n v="6.7"/>
    <n v="11.5"/>
    <n v="21.9"/>
    <n v="28.9"/>
    <n v="16.399999999999999"/>
    <n v="10"/>
    <n v="4.4000000000000004"/>
    <n v="7.5110000000000001"/>
  </r>
  <r>
    <x v="3"/>
    <x v="65"/>
    <x v="2"/>
    <n v="5103"/>
    <n v="0.2"/>
    <n v="0.4"/>
    <n v="1"/>
    <n v="2.2999999999999998"/>
    <n v="5.6"/>
    <n v="9.1"/>
    <n v="19.600000000000001"/>
    <n v="29.4"/>
    <n v="18.8"/>
    <n v="13.7"/>
    <n v="5.0999999999999996"/>
    <n v="7.7440000000000007"/>
  </r>
  <r>
    <x v="3"/>
    <x v="66"/>
    <x v="0"/>
    <n v="11575"/>
    <n v="0.9"/>
    <n v="0.7"/>
    <n v="2.9"/>
    <n v="3.8"/>
    <n v="6.9"/>
    <n v="10.6"/>
    <n v="21.2"/>
    <n v="26.3"/>
    <n v="15.7"/>
    <n v="10.9"/>
    <n v="3"/>
    <n v="7.3339999999999996"/>
  </r>
  <r>
    <x v="3"/>
    <x v="66"/>
    <x v="1"/>
    <n v="6383"/>
    <n v="1"/>
    <n v="0.9"/>
    <n v="3"/>
    <n v="4.4000000000000004"/>
    <n v="7.9"/>
    <n v="11.3"/>
    <n v="22.3"/>
    <n v="25"/>
    <n v="15.1"/>
    <n v="9.1"/>
    <n v="2.6"/>
    <n v="7.1970000000000001"/>
  </r>
  <r>
    <x v="3"/>
    <x v="66"/>
    <x v="2"/>
    <n v="5192"/>
    <n v="0.8"/>
    <n v="0.4"/>
    <n v="2.9"/>
    <n v="3.2"/>
    <n v="5.7"/>
    <n v="9.6999999999999993"/>
    <n v="19.8"/>
    <n v="28"/>
    <n v="16.5"/>
    <n v="13"/>
    <n v="3.4"/>
    <n v="7.5090000000000003"/>
  </r>
  <r>
    <x v="3"/>
    <x v="67"/>
    <x v="0"/>
    <n v="11415"/>
    <n v="0.4"/>
    <n v="0.5"/>
    <n v="1.7"/>
    <n v="3.2"/>
    <n v="6.9"/>
    <n v="10.6"/>
    <n v="20"/>
    <n v="27.2"/>
    <n v="17.3"/>
    <n v="12.2"/>
    <n v="4.3"/>
    <n v="7.5270000000000001"/>
  </r>
  <r>
    <x v="3"/>
    <x v="67"/>
    <x v="1"/>
    <n v="6290"/>
    <n v="0.4"/>
    <n v="0.5"/>
    <n v="1.5"/>
    <n v="3.6"/>
    <n v="7.3"/>
    <n v="11.7"/>
    <n v="20.6"/>
    <n v="27"/>
    <n v="16.600000000000001"/>
    <n v="10.8"/>
    <n v="4.0999999999999996"/>
    <n v="7.4459999999999997"/>
  </r>
  <r>
    <x v="3"/>
    <x v="67"/>
    <x v="2"/>
    <n v="5125"/>
    <n v="0.3"/>
    <n v="0.5"/>
    <n v="1.9"/>
    <n v="2.7"/>
    <n v="6.4"/>
    <n v="9.4"/>
    <n v="19.3"/>
    <n v="27.5"/>
    <n v="18.100000000000001"/>
    <n v="14"/>
    <n v="4.7"/>
    <n v="7.6420000000000012"/>
  </r>
  <r>
    <x v="3"/>
    <x v="68"/>
    <x v="0"/>
    <n v="10154"/>
    <n v="0.1"/>
    <n v="0.1"/>
    <n v="0.3"/>
    <n v="1.4"/>
    <n v="3.5"/>
    <n v="6.8"/>
    <n v="19.3"/>
    <n v="31.8"/>
    <n v="21.3"/>
    <n v="15.5"/>
    <n v="14.9"/>
    <n v="8.0129999999999999"/>
  </r>
  <r>
    <x v="3"/>
    <x v="68"/>
    <x v="1"/>
    <n v="5568"/>
    <n v="0.1"/>
    <n v="0.2"/>
    <n v="0.4"/>
    <n v="1.6"/>
    <n v="4.0999999999999996"/>
    <n v="7.9"/>
    <n v="21.2"/>
    <n v="31.1"/>
    <n v="20"/>
    <n v="13.3"/>
    <n v="15.1"/>
    <n v="7.8619999999999992"/>
  </r>
  <r>
    <x v="3"/>
    <x v="68"/>
    <x v="2"/>
    <n v="4586"/>
    <n v="0.1"/>
    <n v="0.1"/>
    <n v="0.2"/>
    <n v="1.2"/>
    <n v="2.7"/>
    <n v="5.3"/>
    <n v="17.100000000000001"/>
    <n v="32.6"/>
    <n v="22.8"/>
    <n v="18"/>
    <n v="14.7"/>
    <n v="8.1670000000000016"/>
  </r>
  <r>
    <x v="3"/>
    <x v="69"/>
    <x v="0"/>
    <n v="10707"/>
    <n v="0.1"/>
    <n v="0.1"/>
    <n v="0.4"/>
    <n v="1.5"/>
    <n v="3.4"/>
    <n v="6.9"/>
    <n v="20.8"/>
    <n v="32.700000000000003"/>
    <n v="20"/>
    <n v="14.1"/>
    <n v="10.3"/>
    <n v="7.9409999999999998"/>
  </r>
  <r>
    <x v="3"/>
    <x v="69"/>
    <x v="1"/>
    <n v="5860"/>
    <n v="0.1"/>
    <n v="0.1"/>
    <n v="0.4"/>
    <n v="1.7"/>
    <n v="4.2"/>
    <n v="8.1999999999999993"/>
    <n v="21.7"/>
    <n v="33.299999999999997"/>
    <n v="18.100000000000001"/>
    <n v="12.3"/>
    <n v="10.6"/>
    <n v="7.827"/>
  </r>
  <r>
    <x v="3"/>
    <x v="69"/>
    <x v="2"/>
    <n v="4847"/>
    <n v="0.1"/>
    <n v="0"/>
    <n v="0.3"/>
    <n v="1.2"/>
    <n v="2.6"/>
    <n v="5.5"/>
    <n v="19.7"/>
    <n v="32"/>
    <n v="22.2"/>
    <n v="16.3"/>
    <n v="9.8000000000000007"/>
    <n v="8.0850000000000009"/>
  </r>
  <r>
    <x v="3"/>
    <x v="70"/>
    <x v="0"/>
    <n v="10050"/>
    <n v="0.1"/>
    <n v="0.1"/>
    <n v="0.4"/>
    <n v="1.4"/>
    <n v="4"/>
    <n v="8.1999999999999993"/>
    <n v="20.7"/>
    <n v="32.299999999999997"/>
    <n v="20.3"/>
    <n v="12.4"/>
    <n v="15.8"/>
    <n v="7.8629999999999995"/>
  </r>
  <r>
    <x v="3"/>
    <x v="70"/>
    <x v="1"/>
    <n v="5497"/>
    <n v="0.1"/>
    <n v="0.1"/>
    <n v="0.5"/>
    <n v="1.5"/>
    <n v="4.7"/>
    <n v="9.4"/>
    <n v="22.1"/>
    <n v="32.299999999999997"/>
    <n v="18"/>
    <n v="11.2"/>
    <n v="16.2"/>
    <n v="7.7480000000000002"/>
  </r>
  <r>
    <x v="3"/>
    <x v="70"/>
    <x v="2"/>
    <n v="4553"/>
    <n v="0.1"/>
    <n v="0"/>
    <n v="0.3"/>
    <n v="1.3"/>
    <n v="3.2"/>
    <n v="6.9"/>
    <n v="19"/>
    <n v="32.200000000000003"/>
    <n v="23.2"/>
    <n v="13.7"/>
    <n v="15.3"/>
    <n v="7.9999999999999991"/>
  </r>
  <r>
    <x v="3"/>
    <x v="71"/>
    <x v="0"/>
    <n v="9791"/>
    <n v="0.2"/>
    <n v="0.1"/>
    <n v="0.7"/>
    <n v="1.6"/>
    <n v="4.2"/>
    <n v="8.5"/>
    <n v="20.5"/>
    <n v="32"/>
    <n v="19.5"/>
    <n v="12.7"/>
    <n v="17.899999999999999"/>
    <n v="7.8290000000000006"/>
  </r>
  <r>
    <x v="3"/>
    <x v="71"/>
    <x v="1"/>
    <n v="5335"/>
    <n v="0.2"/>
    <n v="0.2"/>
    <n v="0.7"/>
    <n v="1.7"/>
    <n v="5"/>
    <n v="9.6999999999999993"/>
    <n v="21.4"/>
    <n v="32.1"/>
    <n v="17.3"/>
    <n v="11.7"/>
    <n v="18.600000000000001"/>
    <n v="7.7200000000000006"/>
  </r>
  <r>
    <x v="3"/>
    <x v="71"/>
    <x v="2"/>
    <n v="4456"/>
    <n v="0.1"/>
    <n v="0.1"/>
    <n v="0.6"/>
    <n v="1.5"/>
    <n v="3.3"/>
    <n v="7.2"/>
    <n v="19.399999999999999"/>
    <n v="31.8"/>
    <n v="22.1"/>
    <n v="13.9"/>
    <n v="17.100000000000001"/>
    <n v="7.9589999999999996"/>
  </r>
  <r>
    <x v="3"/>
    <x v="72"/>
    <x v="0"/>
    <n v="10360"/>
    <n v="0.2"/>
    <n v="0.2"/>
    <n v="0.6"/>
    <n v="1.8"/>
    <n v="3.9"/>
    <n v="6.5"/>
    <n v="17.5"/>
    <n v="32.4"/>
    <n v="19"/>
    <n v="17.899999999999999"/>
    <n v="13.2"/>
    <n v="7.9980000000000002"/>
  </r>
  <r>
    <x v="3"/>
    <x v="72"/>
    <x v="1"/>
    <n v="5655"/>
    <n v="0.3"/>
    <n v="0.2"/>
    <n v="0.5"/>
    <n v="2.2000000000000002"/>
    <n v="4.4000000000000004"/>
    <n v="7.6"/>
    <n v="18.600000000000001"/>
    <n v="32.5"/>
    <n v="17.8"/>
    <n v="16"/>
    <n v="13.7"/>
    <n v="7.8900000000000006"/>
  </r>
  <r>
    <x v="3"/>
    <x v="72"/>
    <x v="2"/>
    <n v="4705"/>
    <n v="0.1"/>
    <n v="0.1"/>
    <n v="0.7"/>
    <n v="1.3"/>
    <n v="3.4"/>
    <n v="5.2"/>
    <n v="16.3"/>
    <n v="32.299999999999997"/>
    <n v="20.5"/>
    <n v="20.100000000000001"/>
    <n v="12.5"/>
    <n v="8.1379999999999981"/>
  </r>
  <r>
    <x v="3"/>
    <x v="73"/>
    <x v="0"/>
    <n v="10792"/>
    <n v="0.1"/>
    <n v="0.1"/>
    <n v="0.2"/>
    <n v="0.9"/>
    <n v="2.5"/>
    <n v="5.4"/>
    <n v="16.3"/>
    <n v="29.6"/>
    <n v="20.3"/>
    <n v="24.6"/>
    <n v="9.5"/>
    <n v="8.2899999999999991"/>
  </r>
  <r>
    <x v="3"/>
    <x v="73"/>
    <x v="1"/>
    <n v="5909"/>
    <n v="0.1"/>
    <n v="0.2"/>
    <n v="0.2"/>
    <n v="1.1000000000000001"/>
    <n v="2.9"/>
    <n v="6.3"/>
    <n v="17.100000000000001"/>
    <n v="30.2"/>
    <n v="19.399999999999999"/>
    <n v="22.5"/>
    <n v="9.9"/>
    <n v="8.1869999999999994"/>
  </r>
  <r>
    <x v="3"/>
    <x v="73"/>
    <x v="2"/>
    <n v="4883"/>
    <n v="0"/>
    <n v="0.1"/>
    <n v="0.1"/>
    <n v="0.6"/>
    <n v="2"/>
    <n v="4.2"/>
    <n v="15.4"/>
    <n v="28.9"/>
    <n v="21.5"/>
    <n v="27.2"/>
    <n v="9.1999999999999993"/>
    <n v="8.4260000000000002"/>
  </r>
  <r>
    <x v="3"/>
    <x v="74"/>
    <x v="0"/>
    <n v="10196"/>
    <n v="0.1"/>
    <n v="0.2"/>
    <n v="1"/>
    <n v="1.7"/>
    <n v="3.6"/>
    <n v="8.5"/>
    <n v="19.399999999999999"/>
    <n v="31.4"/>
    <n v="19.600000000000001"/>
    <n v="14.5"/>
    <n v="14.5"/>
    <n v="7.8770000000000007"/>
  </r>
  <r>
    <x v="3"/>
    <x v="74"/>
    <x v="1"/>
    <n v="5579"/>
    <n v="0.1"/>
    <n v="0.3"/>
    <n v="1"/>
    <n v="1.8"/>
    <n v="4"/>
    <n v="9.4"/>
    <n v="20.2"/>
    <n v="32"/>
    <n v="18.2"/>
    <n v="13"/>
    <n v="14.9"/>
    <n v="7.7850000000000001"/>
  </r>
  <r>
    <x v="3"/>
    <x v="74"/>
    <x v="2"/>
    <n v="4617"/>
    <n v="0.1"/>
    <n v="0.2"/>
    <n v="0.9"/>
    <n v="1.6"/>
    <n v="3"/>
    <n v="7.5"/>
    <n v="18.3"/>
    <n v="30.8"/>
    <n v="21.4"/>
    <n v="16.3"/>
    <n v="14.1"/>
    <n v="7.9969999999999999"/>
  </r>
  <r>
    <x v="3"/>
    <x v="75"/>
    <x v="0"/>
    <n v="9962"/>
    <n v="0.3"/>
    <n v="0.4"/>
    <n v="1.6"/>
    <n v="2.9"/>
    <n v="5.5"/>
    <n v="10.8"/>
    <n v="20.5"/>
    <n v="29.5"/>
    <n v="17.3"/>
    <n v="11.3"/>
    <n v="16.5"/>
    <n v="7.580000000000001"/>
  </r>
  <r>
    <x v="3"/>
    <x v="75"/>
    <x v="1"/>
    <n v="5439"/>
    <n v="0.3"/>
    <n v="0.4"/>
    <n v="1.7"/>
    <n v="3.2"/>
    <n v="5.8"/>
    <n v="11.6"/>
    <n v="21.6"/>
    <n v="29.3"/>
    <n v="16"/>
    <n v="10"/>
    <n v="17"/>
    <n v="7.4719999999999995"/>
  </r>
  <r>
    <x v="3"/>
    <x v="75"/>
    <x v="2"/>
    <n v="4523"/>
    <n v="0.2"/>
    <n v="0.4"/>
    <n v="1.4"/>
    <n v="2.5"/>
    <n v="5"/>
    <n v="9.6999999999999993"/>
    <n v="19.2"/>
    <n v="29.7"/>
    <n v="19"/>
    <n v="12.9"/>
    <n v="15.9"/>
    <n v="7.7040000000000006"/>
  </r>
  <r>
    <x v="3"/>
    <x v="76"/>
    <x v="0"/>
    <n v="10695"/>
    <n v="0.4"/>
    <n v="0.4"/>
    <n v="1.1000000000000001"/>
    <n v="2.4"/>
    <n v="4.5"/>
    <n v="7.8"/>
    <n v="20.2"/>
    <n v="30"/>
    <n v="20.6"/>
    <n v="12.5"/>
    <n v="10.4"/>
    <n v="7.7519999999999998"/>
  </r>
  <r>
    <x v="3"/>
    <x v="76"/>
    <x v="1"/>
    <n v="5864"/>
    <n v="0.4"/>
    <n v="0.4"/>
    <n v="1.2"/>
    <n v="2.7"/>
    <n v="5"/>
    <n v="8.5"/>
    <n v="21.2"/>
    <n v="29.7"/>
    <n v="19.3"/>
    <n v="11.6"/>
    <n v="10.6"/>
    <n v="7.673"/>
  </r>
  <r>
    <x v="3"/>
    <x v="76"/>
    <x v="2"/>
    <n v="4831"/>
    <n v="0.5"/>
    <n v="0.3"/>
    <n v="1"/>
    <n v="2.1"/>
    <n v="4"/>
    <n v="6.9"/>
    <n v="19"/>
    <n v="30.4"/>
    <n v="22.3"/>
    <n v="13.5"/>
    <n v="10.1"/>
    <n v="7.8579999999999988"/>
  </r>
  <r>
    <x v="3"/>
    <x v="77"/>
    <x v="0"/>
    <n v="10722"/>
    <n v="0.5"/>
    <n v="0.4"/>
    <n v="1.7"/>
    <n v="2.6"/>
    <n v="5.2"/>
    <n v="8.9"/>
    <n v="20.7"/>
    <n v="28.7"/>
    <n v="19.5"/>
    <n v="11.8"/>
    <n v="10.1"/>
    <n v="7.6419999999999995"/>
  </r>
  <r>
    <x v="3"/>
    <x v="77"/>
    <x v="1"/>
    <n v="5859"/>
    <n v="0.4"/>
    <n v="0.4"/>
    <n v="1.7"/>
    <n v="3.2"/>
    <n v="5.4"/>
    <n v="9.6999999999999993"/>
    <n v="21.4"/>
    <n v="28.9"/>
    <n v="18.2"/>
    <n v="10.7"/>
    <n v="10.6"/>
    <n v="7.5609999999999999"/>
  </r>
  <r>
    <x v="3"/>
    <x v="77"/>
    <x v="2"/>
    <n v="4863"/>
    <n v="0.5"/>
    <n v="0.3"/>
    <n v="1.7"/>
    <n v="2"/>
    <n v="5"/>
    <n v="8"/>
    <n v="19.899999999999999"/>
    <n v="28.4"/>
    <n v="21"/>
    <n v="13.2"/>
    <n v="9.5"/>
    <n v="7.746999999999999"/>
  </r>
  <r>
    <x v="3"/>
    <x v="78"/>
    <x v="0"/>
    <n v="10880"/>
    <n v="0.6"/>
    <n v="0.8"/>
    <n v="2.1"/>
    <n v="2.5"/>
    <n v="4.8"/>
    <n v="8.6"/>
    <n v="20"/>
    <n v="28.5"/>
    <n v="19.600000000000001"/>
    <n v="12.5"/>
    <n v="8.8000000000000007"/>
    <n v="7.6349999999999998"/>
  </r>
  <r>
    <x v="3"/>
    <x v="78"/>
    <x v="1"/>
    <n v="5964"/>
    <n v="0.6"/>
    <n v="0.9"/>
    <n v="2.1"/>
    <n v="2.8"/>
    <n v="4.9000000000000004"/>
    <n v="9.1999999999999993"/>
    <n v="21"/>
    <n v="28.5"/>
    <n v="18.399999999999999"/>
    <n v="11.6"/>
    <n v="9"/>
    <n v="7.5619999999999994"/>
  </r>
  <r>
    <x v="3"/>
    <x v="78"/>
    <x v="2"/>
    <n v="4916"/>
    <n v="0.6"/>
    <n v="0.7"/>
    <n v="2"/>
    <n v="2.1"/>
    <n v="4.5999999999999996"/>
    <n v="8"/>
    <n v="18.899999999999999"/>
    <n v="28.4"/>
    <n v="21.1"/>
    <n v="13.6"/>
    <n v="8.5"/>
    <n v="7.7279999999999998"/>
  </r>
  <r>
    <x v="3"/>
    <x v="79"/>
    <x v="0"/>
    <n v="11466"/>
    <n v="0.2"/>
    <n v="0.4"/>
    <n v="1.3"/>
    <n v="2.2000000000000002"/>
    <n v="4"/>
    <n v="7.3"/>
    <n v="18.8"/>
    <n v="29.5"/>
    <n v="21.4"/>
    <n v="14.9"/>
    <n v="3.9"/>
    <n v="7.867"/>
  </r>
  <r>
    <x v="3"/>
    <x v="79"/>
    <x v="1"/>
    <n v="6285"/>
    <n v="0.2"/>
    <n v="0.4"/>
    <n v="1"/>
    <n v="2.4"/>
    <n v="4.4000000000000004"/>
    <n v="7.8"/>
    <n v="19"/>
    <n v="29.6"/>
    <n v="21.1"/>
    <n v="14"/>
    <n v="4.0999999999999996"/>
    <n v="7.8209999999999997"/>
  </r>
  <r>
    <x v="3"/>
    <x v="79"/>
    <x v="2"/>
    <n v="5181"/>
    <n v="0.3"/>
    <n v="0.3"/>
    <n v="1.6"/>
    <n v="1.9"/>
    <n v="3.6"/>
    <n v="6.7"/>
    <n v="18.5"/>
    <n v="29.4"/>
    <n v="21.8"/>
    <n v="15.9"/>
    <n v="3.6"/>
    <n v="7.9139999999999997"/>
  </r>
  <r>
    <x v="3"/>
    <x v="80"/>
    <x v="0"/>
    <n v="10621"/>
    <n v="0.1"/>
    <n v="0.2"/>
    <n v="0.9"/>
    <n v="1.9"/>
    <n v="3.4"/>
    <n v="5.9"/>
    <n v="18.2"/>
    <n v="30.3"/>
    <n v="20.5"/>
    <n v="18.5"/>
    <n v="11"/>
    <n v="8.0250000000000004"/>
  </r>
  <r>
    <x v="3"/>
    <x v="80"/>
    <x v="1"/>
    <n v="5830"/>
    <n v="0.1"/>
    <n v="0.3"/>
    <n v="0.9"/>
    <n v="2"/>
    <n v="3.9"/>
    <n v="6.1"/>
    <n v="18.2"/>
    <n v="30.4"/>
    <n v="20.3"/>
    <n v="17.899999999999999"/>
    <n v="11.1"/>
    <n v="7.9980000000000002"/>
  </r>
  <r>
    <x v="3"/>
    <x v="80"/>
    <x v="2"/>
    <n v="4791"/>
    <n v="0.2"/>
    <n v="0.2"/>
    <n v="0.9"/>
    <n v="1.9"/>
    <n v="2.9"/>
    <n v="5.5"/>
    <n v="18.100000000000001"/>
    <n v="30.3"/>
    <n v="20.7"/>
    <n v="19.3"/>
    <n v="10.9"/>
    <n v="8.0679999999999996"/>
  </r>
  <r>
    <x v="3"/>
    <x v="81"/>
    <x v="0"/>
    <n v="9860"/>
    <n v="0.3"/>
    <n v="0.2"/>
    <n v="0.6"/>
    <n v="2.5"/>
    <n v="4.8"/>
    <n v="8.4"/>
    <n v="20.7"/>
    <n v="30.6"/>
    <n v="20.8"/>
    <n v="11"/>
    <n v="17.399999999999999"/>
    <n v="7.7379999999999995"/>
  </r>
  <r>
    <x v="3"/>
    <x v="81"/>
    <x v="1"/>
    <n v="5423"/>
    <n v="0.3"/>
    <n v="0.3"/>
    <n v="0.7"/>
    <n v="2.9"/>
    <n v="5.3"/>
    <n v="8.6"/>
    <n v="21.6"/>
    <n v="30.2"/>
    <n v="19.8"/>
    <n v="10.199999999999999"/>
    <n v="17.3"/>
    <n v="7.657"/>
  </r>
  <r>
    <x v="3"/>
    <x v="81"/>
    <x v="2"/>
    <n v="4437"/>
    <n v="0.3"/>
    <n v="0.1"/>
    <n v="0.6"/>
    <n v="2"/>
    <n v="4.2"/>
    <n v="8"/>
    <n v="19.600000000000001"/>
    <n v="31.2"/>
    <n v="22.1"/>
    <n v="12"/>
    <n v="17.5"/>
    <n v="7.85"/>
  </r>
  <r>
    <x v="3"/>
    <x v="82"/>
    <x v="0"/>
    <n v="11378"/>
    <n v="0.4"/>
    <n v="0.3"/>
    <n v="1.2"/>
    <n v="1.8"/>
    <n v="3.1"/>
    <n v="5.7"/>
    <n v="17.399999999999999"/>
    <n v="27.6"/>
    <n v="20.8"/>
    <n v="21.8"/>
    <n v="4.5999999999999996"/>
    <n v="8.093"/>
  </r>
  <r>
    <x v="3"/>
    <x v="82"/>
    <x v="1"/>
    <n v="6244"/>
    <n v="0.4"/>
    <n v="0.3"/>
    <n v="1.1000000000000001"/>
    <n v="2"/>
    <n v="3.5"/>
    <n v="6"/>
    <n v="18.600000000000001"/>
    <n v="26.7"/>
    <n v="20.6"/>
    <n v="20.7"/>
    <n v="4.8"/>
    <n v="8.02"/>
  </r>
  <r>
    <x v="3"/>
    <x v="82"/>
    <x v="2"/>
    <n v="5134"/>
    <n v="0.4"/>
    <n v="0.4"/>
    <n v="1.2"/>
    <n v="1.5"/>
    <n v="2.6"/>
    <n v="5.2"/>
    <n v="15.9"/>
    <n v="28.7"/>
    <n v="21"/>
    <n v="23.1"/>
    <n v="4.5"/>
    <n v="8.158999999999998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x v="0"/>
    <x v="0"/>
    <x v="0"/>
    <n v="6698"/>
    <n v="29.7"/>
  </r>
  <r>
    <x v="0"/>
    <x v="0"/>
    <x v="0"/>
    <x v="1"/>
    <n v="4073"/>
    <n v="18"/>
  </r>
  <r>
    <x v="0"/>
    <x v="0"/>
    <x v="0"/>
    <x v="2"/>
    <n v="8343"/>
    <n v="36.9"/>
  </r>
  <r>
    <x v="0"/>
    <x v="0"/>
    <x v="0"/>
    <x v="3"/>
    <n v="756"/>
    <n v="3.3"/>
  </r>
  <r>
    <x v="0"/>
    <x v="0"/>
    <x v="0"/>
    <x v="4"/>
    <n v="273"/>
    <n v="1.2"/>
  </r>
  <r>
    <x v="0"/>
    <x v="0"/>
    <x v="0"/>
    <x v="5"/>
    <n v="41"/>
    <n v="0.2"/>
  </r>
  <r>
    <x v="0"/>
    <x v="0"/>
    <x v="0"/>
    <x v="6"/>
    <n v="1408"/>
    <n v="6.2"/>
  </r>
  <r>
    <x v="0"/>
    <x v="0"/>
    <x v="0"/>
    <x v="7"/>
    <n v="927"/>
    <n v="4.0999999999999996"/>
  </r>
  <r>
    <x v="0"/>
    <x v="0"/>
    <x v="0"/>
    <x v="8"/>
    <n v="67"/>
    <n v="0.3"/>
  </r>
  <r>
    <x v="0"/>
    <x v="0"/>
    <x v="1"/>
    <x v="9"/>
    <n v="10225"/>
    <n v="45.3"/>
  </r>
  <r>
    <x v="0"/>
    <x v="0"/>
    <x v="1"/>
    <x v="10"/>
    <n v="12361"/>
    <n v="54.7"/>
  </r>
  <r>
    <x v="0"/>
    <x v="0"/>
    <x v="2"/>
    <x v="11"/>
    <n v="3219"/>
    <n v="20.100000000000001"/>
  </r>
  <r>
    <x v="0"/>
    <x v="0"/>
    <x v="2"/>
    <x v="12"/>
    <n v="9580"/>
    <n v="59.7"/>
  </r>
  <r>
    <x v="0"/>
    <x v="0"/>
    <x v="2"/>
    <x v="13"/>
    <n v="1837"/>
    <n v="11.4"/>
  </r>
  <r>
    <x v="0"/>
    <x v="0"/>
    <x v="2"/>
    <x v="14"/>
    <n v="1409"/>
    <n v="8.8000000000000007"/>
  </r>
  <r>
    <x v="0"/>
    <x v="0"/>
    <x v="3"/>
    <x v="15"/>
    <n v="2816"/>
    <n v="12.7"/>
  </r>
  <r>
    <x v="0"/>
    <x v="0"/>
    <x v="3"/>
    <x v="16"/>
    <n v="1858"/>
    <n v="8.4"/>
  </r>
  <r>
    <x v="0"/>
    <x v="0"/>
    <x v="3"/>
    <x v="17"/>
    <n v="1465"/>
    <n v="6.6"/>
  </r>
  <r>
    <x v="0"/>
    <x v="0"/>
    <x v="3"/>
    <x v="18"/>
    <n v="9124"/>
    <n v="41.1"/>
  </r>
  <r>
    <x v="0"/>
    <x v="0"/>
    <x v="3"/>
    <x v="19"/>
    <n v="5663"/>
    <n v="25.5"/>
  </r>
  <r>
    <x v="0"/>
    <x v="0"/>
    <x v="3"/>
    <x v="20"/>
    <n v="23"/>
    <n v="0.1"/>
  </r>
  <r>
    <x v="0"/>
    <x v="0"/>
    <x v="3"/>
    <x v="21"/>
    <n v="1234"/>
    <n v="5.6"/>
  </r>
  <r>
    <x v="0"/>
    <x v="0"/>
    <x v="4"/>
    <x v="22"/>
    <n v="7623"/>
    <n v="49.2"/>
  </r>
  <r>
    <x v="0"/>
    <x v="0"/>
    <x v="4"/>
    <x v="23"/>
    <n v="933"/>
    <n v="6"/>
  </r>
  <r>
    <x v="0"/>
    <x v="0"/>
    <x v="4"/>
    <x v="24"/>
    <n v="458"/>
    <n v="3"/>
  </r>
  <r>
    <x v="0"/>
    <x v="0"/>
    <x v="4"/>
    <x v="25"/>
    <n v="3150"/>
    <n v="20.3"/>
  </r>
  <r>
    <x v="0"/>
    <x v="0"/>
    <x v="4"/>
    <x v="26"/>
    <n v="1627"/>
    <n v="10.5"/>
  </r>
  <r>
    <x v="0"/>
    <x v="0"/>
    <x v="4"/>
    <x v="27"/>
    <n v="1360"/>
    <n v="8.8000000000000007"/>
  </r>
  <r>
    <x v="0"/>
    <x v="0"/>
    <x v="4"/>
    <x v="28"/>
    <n v="309"/>
    <n v="2"/>
  </r>
  <r>
    <x v="0"/>
    <x v="0"/>
    <x v="4"/>
    <x v="29"/>
    <n v="46"/>
    <n v="0.3"/>
  </r>
  <r>
    <x v="0"/>
    <x v="1"/>
    <x v="0"/>
    <x v="0"/>
    <n v="5302"/>
    <n v="27.5"/>
  </r>
  <r>
    <x v="0"/>
    <x v="1"/>
    <x v="0"/>
    <x v="1"/>
    <n v="3386"/>
    <n v="17.600000000000001"/>
  </r>
  <r>
    <x v="0"/>
    <x v="1"/>
    <x v="0"/>
    <x v="2"/>
    <n v="7035"/>
    <n v="36.5"/>
  </r>
  <r>
    <x v="0"/>
    <x v="1"/>
    <x v="0"/>
    <x v="3"/>
    <n v="639"/>
    <n v="3.3"/>
  </r>
  <r>
    <x v="0"/>
    <x v="1"/>
    <x v="0"/>
    <x v="4"/>
    <n v="246"/>
    <n v="1.3"/>
  </r>
  <r>
    <x v="0"/>
    <x v="1"/>
    <x v="0"/>
    <x v="5"/>
    <n v="46"/>
    <n v="0.2"/>
  </r>
  <r>
    <x v="0"/>
    <x v="1"/>
    <x v="0"/>
    <x v="6"/>
    <n v="1734"/>
    <n v="9"/>
  </r>
  <r>
    <x v="0"/>
    <x v="1"/>
    <x v="0"/>
    <x v="7"/>
    <n v="852"/>
    <n v="4.4000000000000004"/>
  </r>
  <r>
    <x v="0"/>
    <x v="1"/>
    <x v="0"/>
    <x v="8"/>
    <n v="42"/>
    <n v="0.2"/>
  </r>
  <r>
    <x v="0"/>
    <x v="1"/>
    <x v="1"/>
    <x v="9"/>
    <n v="9168"/>
    <n v="47.5"/>
  </r>
  <r>
    <x v="0"/>
    <x v="1"/>
    <x v="1"/>
    <x v="10"/>
    <n v="10114"/>
    <n v="52.5"/>
  </r>
  <r>
    <x v="0"/>
    <x v="1"/>
    <x v="2"/>
    <x v="11"/>
    <n v="2622"/>
    <n v="19.7"/>
  </r>
  <r>
    <x v="0"/>
    <x v="1"/>
    <x v="2"/>
    <x v="12"/>
    <n v="8391"/>
    <n v="63"/>
  </r>
  <r>
    <x v="0"/>
    <x v="1"/>
    <x v="2"/>
    <x v="13"/>
    <n v="1493"/>
    <n v="11.2"/>
  </r>
  <r>
    <x v="0"/>
    <x v="1"/>
    <x v="2"/>
    <x v="14"/>
    <n v="810"/>
    <n v="6.1"/>
  </r>
  <r>
    <x v="0"/>
    <x v="1"/>
    <x v="3"/>
    <x v="15"/>
    <n v="2603"/>
    <n v="13.8"/>
  </r>
  <r>
    <x v="0"/>
    <x v="1"/>
    <x v="3"/>
    <x v="16"/>
    <n v="1731"/>
    <n v="9.1999999999999993"/>
  </r>
  <r>
    <x v="0"/>
    <x v="1"/>
    <x v="3"/>
    <x v="17"/>
    <n v="1492"/>
    <n v="7.9"/>
  </r>
  <r>
    <x v="0"/>
    <x v="1"/>
    <x v="3"/>
    <x v="18"/>
    <n v="9583"/>
    <n v="50.7"/>
  </r>
  <r>
    <x v="0"/>
    <x v="1"/>
    <x v="3"/>
    <x v="19"/>
    <n v="2449"/>
    <n v="13"/>
  </r>
  <r>
    <x v="0"/>
    <x v="1"/>
    <x v="3"/>
    <x v="20"/>
    <n v="4"/>
    <n v="0"/>
  </r>
  <r>
    <x v="0"/>
    <x v="1"/>
    <x v="3"/>
    <x v="21"/>
    <n v="1029"/>
    <n v="5.4"/>
  </r>
  <r>
    <x v="0"/>
    <x v="1"/>
    <x v="4"/>
    <x v="22"/>
    <n v="5980"/>
    <n v="48.2"/>
  </r>
  <r>
    <x v="0"/>
    <x v="1"/>
    <x v="4"/>
    <x v="23"/>
    <n v="866"/>
    <n v="7"/>
  </r>
  <r>
    <x v="0"/>
    <x v="1"/>
    <x v="4"/>
    <x v="24"/>
    <n v="377"/>
    <n v="3"/>
  </r>
  <r>
    <x v="0"/>
    <x v="1"/>
    <x v="4"/>
    <x v="25"/>
    <n v="2411"/>
    <n v="19.5"/>
  </r>
  <r>
    <x v="0"/>
    <x v="1"/>
    <x v="4"/>
    <x v="26"/>
    <n v="1384"/>
    <n v="11.2"/>
  </r>
  <r>
    <x v="0"/>
    <x v="1"/>
    <x v="4"/>
    <x v="27"/>
    <n v="1054"/>
    <n v="8.5"/>
  </r>
  <r>
    <x v="0"/>
    <x v="1"/>
    <x v="4"/>
    <x v="28"/>
    <n v="273"/>
    <n v="2.2000000000000002"/>
  </r>
  <r>
    <x v="0"/>
    <x v="1"/>
    <x v="4"/>
    <x v="29"/>
    <n v="49"/>
    <n v="0.4"/>
  </r>
  <r>
    <x v="1"/>
    <x v="0"/>
    <x v="0"/>
    <x v="0"/>
    <n v="6443"/>
    <n v="30.5"/>
  </r>
  <r>
    <x v="1"/>
    <x v="0"/>
    <x v="0"/>
    <x v="1"/>
    <n v="3943"/>
    <n v="18.7"/>
  </r>
  <r>
    <x v="1"/>
    <x v="0"/>
    <x v="0"/>
    <x v="2"/>
    <n v="7641"/>
    <n v="36.200000000000003"/>
  </r>
  <r>
    <x v="1"/>
    <x v="0"/>
    <x v="0"/>
    <x v="3"/>
    <n v="613"/>
    <n v="2.9"/>
  </r>
  <r>
    <x v="1"/>
    <x v="0"/>
    <x v="0"/>
    <x v="4"/>
    <n v="249"/>
    <n v="1.2"/>
  </r>
  <r>
    <x v="1"/>
    <x v="0"/>
    <x v="0"/>
    <x v="5"/>
    <n v="38"/>
    <n v="0.2"/>
  </r>
  <r>
    <x v="1"/>
    <x v="0"/>
    <x v="0"/>
    <x v="6"/>
    <n v="1368"/>
    <n v="6.5"/>
  </r>
  <r>
    <x v="1"/>
    <x v="0"/>
    <x v="0"/>
    <x v="7"/>
    <n v="819"/>
    <n v="3.9"/>
  </r>
  <r>
    <x v="1"/>
    <x v="0"/>
    <x v="0"/>
    <x v="8"/>
    <n v="21"/>
    <n v="0.1"/>
  </r>
  <r>
    <x v="1"/>
    <x v="0"/>
    <x v="1"/>
    <x v="9"/>
    <n v="9582"/>
    <n v="45.3"/>
  </r>
  <r>
    <x v="1"/>
    <x v="0"/>
    <x v="1"/>
    <x v="10"/>
    <n v="11553"/>
    <n v="54.7"/>
  </r>
  <r>
    <x v="1"/>
    <x v="0"/>
    <x v="2"/>
    <x v="11"/>
    <n v="2878"/>
    <n v="19.399999999999999"/>
  </r>
  <r>
    <x v="1"/>
    <x v="0"/>
    <x v="2"/>
    <x v="12"/>
    <n v="9015"/>
    <n v="60.8"/>
  </r>
  <r>
    <x v="1"/>
    <x v="0"/>
    <x v="2"/>
    <x v="13"/>
    <n v="1577"/>
    <n v="10.6"/>
  </r>
  <r>
    <x v="1"/>
    <x v="0"/>
    <x v="2"/>
    <x v="14"/>
    <n v="1356"/>
    <n v="9.1"/>
  </r>
  <r>
    <x v="1"/>
    <x v="0"/>
    <x v="3"/>
    <x v="15"/>
    <n v="2584"/>
    <n v="12.5"/>
  </r>
  <r>
    <x v="1"/>
    <x v="0"/>
    <x v="3"/>
    <x v="16"/>
    <n v="1819"/>
    <n v="8.8000000000000007"/>
  </r>
  <r>
    <x v="1"/>
    <x v="0"/>
    <x v="3"/>
    <x v="17"/>
    <n v="1192"/>
    <n v="5.8"/>
  </r>
  <r>
    <x v="1"/>
    <x v="0"/>
    <x v="3"/>
    <x v="18"/>
    <n v="8168"/>
    <n v="39.4"/>
  </r>
  <r>
    <x v="1"/>
    <x v="0"/>
    <x v="3"/>
    <x v="19"/>
    <n v="5643"/>
    <n v="27.2"/>
  </r>
  <r>
    <x v="1"/>
    <x v="0"/>
    <x v="3"/>
    <x v="20"/>
    <n v="48"/>
    <n v="0.2"/>
  </r>
  <r>
    <x v="1"/>
    <x v="0"/>
    <x v="3"/>
    <x v="21"/>
    <n v="1269"/>
    <n v="6.1"/>
  </r>
  <r>
    <x v="1"/>
    <x v="0"/>
    <x v="4"/>
    <x v="22"/>
    <n v="7444"/>
    <n v="52.3"/>
  </r>
  <r>
    <x v="1"/>
    <x v="0"/>
    <x v="4"/>
    <x v="23"/>
    <n v="857"/>
    <n v="6"/>
  </r>
  <r>
    <x v="1"/>
    <x v="0"/>
    <x v="4"/>
    <x v="24"/>
    <n v="396"/>
    <n v="2.8"/>
  </r>
  <r>
    <x v="1"/>
    <x v="0"/>
    <x v="4"/>
    <x v="25"/>
    <n v="2696"/>
    <n v="18.899999999999999"/>
  </r>
  <r>
    <x v="1"/>
    <x v="0"/>
    <x v="4"/>
    <x v="26"/>
    <n v="1419"/>
    <n v="10"/>
  </r>
  <r>
    <x v="1"/>
    <x v="0"/>
    <x v="4"/>
    <x v="27"/>
    <n v="1133"/>
    <n v="8"/>
  </r>
  <r>
    <x v="1"/>
    <x v="0"/>
    <x v="4"/>
    <x v="28"/>
    <n v="247"/>
    <n v="1.7"/>
  </r>
  <r>
    <x v="1"/>
    <x v="0"/>
    <x v="4"/>
    <x v="29"/>
    <n v="54"/>
    <n v="0.4"/>
  </r>
  <r>
    <x v="1"/>
    <x v="1"/>
    <x v="0"/>
    <x v="0"/>
    <n v="5557"/>
    <n v="25.8"/>
  </r>
  <r>
    <x v="1"/>
    <x v="1"/>
    <x v="0"/>
    <x v="1"/>
    <n v="3682"/>
    <n v="17.100000000000001"/>
  </r>
  <r>
    <x v="1"/>
    <x v="1"/>
    <x v="0"/>
    <x v="2"/>
    <n v="8262"/>
    <n v="38.299999999999997"/>
  </r>
  <r>
    <x v="1"/>
    <x v="1"/>
    <x v="0"/>
    <x v="3"/>
    <n v="633"/>
    <n v="2.9"/>
  </r>
  <r>
    <x v="1"/>
    <x v="1"/>
    <x v="0"/>
    <x v="4"/>
    <n v="236"/>
    <n v="1.1000000000000001"/>
  </r>
  <r>
    <x v="1"/>
    <x v="1"/>
    <x v="0"/>
    <x v="5"/>
    <n v="37"/>
    <n v="0.2"/>
  </r>
  <r>
    <x v="1"/>
    <x v="1"/>
    <x v="0"/>
    <x v="6"/>
    <n v="2196"/>
    <n v="10.199999999999999"/>
  </r>
  <r>
    <x v="1"/>
    <x v="1"/>
    <x v="0"/>
    <x v="7"/>
    <n v="917"/>
    <n v="4.3"/>
  </r>
  <r>
    <x v="1"/>
    <x v="1"/>
    <x v="0"/>
    <x v="8"/>
    <n v="26"/>
    <n v="0.1"/>
  </r>
  <r>
    <x v="1"/>
    <x v="1"/>
    <x v="1"/>
    <x v="9"/>
    <n v="10432"/>
    <n v="48.4"/>
  </r>
  <r>
    <x v="1"/>
    <x v="1"/>
    <x v="1"/>
    <x v="10"/>
    <n v="11114"/>
    <n v="51.6"/>
  </r>
  <r>
    <x v="1"/>
    <x v="1"/>
    <x v="2"/>
    <x v="11"/>
    <n v="3051"/>
    <n v="20.9"/>
  </r>
  <r>
    <x v="1"/>
    <x v="1"/>
    <x v="2"/>
    <x v="12"/>
    <n v="9199"/>
    <n v="63"/>
  </r>
  <r>
    <x v="1"/>
    <x v="1"/>
    <x v="2"/>
    <x v="13"/>
    <n v="1470"/>
    <n v="10.1"/>
  </r>
  <r>
    <x v="1"/>
    <x v="1"/>
    <x v="2"/>
    <x v="14"/>
    <n v="879"/>
    <n v="6"/>
  </r>
  <r>
    <x v="1"/>
    <x v="1"/>
    <x v="3"/>
    <x v="15"/>
    <n v="2766"/>
    <n v="13.1"/>
  </r>
  <r>
    <x v="1"/>
    <x v="1"/>
    <x v="3"/>
    <x v="16"/>
    <n v="2052"/>
    <n v="9.6999999999999993"/>
  </r>
  <r>
    <x v="1"/>
    <x v="1"/>
    <x v="3"/>
    <x v="17"/>
    <n v="1813"/>
    <n v="8.6"/>
  </r>
  <r>
    <x v="1"/>
    <x v="1"/>
    <x v="3"/>
    <x v="18"/>
    <n v="10229"/>
    <n v="48.4"/>
  </r>
  <r>
    <x v="1"/>
    <x v="1"/>
    <x v="3"/>
    <x v="19"/>
    <n v="2845"/>
    <n v="13.5"/>
  </r>
  <r>
    <x v="1"/>
    <x v="1"/>
    <x v="3"/>
    <x v="20"/>
    <n v="7"/>
    <n v="0"/>
  </r>
  <r>
    <x v="1"/>
    <x v="1"/>
    <x v="3"/>
    <x v="21"/>
    <n v="1405"/>
    <n v="6.7"/>
  </r>
  <r>
    <x v="1"/>
    <x v="1"/>
    <x v="4"/>
    <x v="22"/>
    <n v="6928"/>
    <n v="50.7"/>
  </r>
  <r>
    <x v="1"/>
    <x v="1"/>
    <x v="4"/>
    <x v="23"/>
    <n v="879"/>
    <n v="6.4"/>
  </r>
  <r>
    <x v="1"/>
    <x v="1"/>
    <x v="4"/>
    <x v="24"/>
    <n v="445"/>
    <n v="3.3"/>
  </r>
  <r>
    <x v="1"/>
    <x v="1"/>
    <x v="4"/>
    <x v="25"/>
    <n v="2326"/>
    <n v="17"/>
  </r>
  <r>
    <x v="1"/>
    <x v="1"/>
    <x v="4"/>
    <x v="26"/>
    <n v="1774"/>
    <n v="13"/>
  </r>
  <r>
    <x v="1"/>
    <x v="1"/>
    <x v="4"/>
    <x v="27"/>
    <n v="997"/>
    <n v="7.3"/>
  </r>
  <r>
    <x v="1"/>
    <x v="1"/>
    <x v="4"/>
    <x v="28"/>
    <n v="272"/>
    <n v="2"/>
  </r>
  <r>
    <x v="1"/>
    <x v="1"/>
    <x v="4"/>
    <x v="29"/>
    <n v="40"/>
    <n v="0.3"/>
  </r>
  <r>
    <x v="2"/>
    <x v="0"/>
    <x v="0"/>
    <x v="0"/>
    <n v="6575"/>
    <n v="30.4"/>
  </r>
  <r>
    <x v="2"/>
    <x v="0"/>
    <x v="0"/>
    <x v="1"/>
    <n v="3877"/>
    <n v="17.899999999999999"/>
  </r>
  <r>
    <x v="2"/>
    <x v="0"/>
    <x v="0"/>
    <x v="2"/>
    <n v="8060"/>
    <n v="37.200000000000003"/>
  </r>
  <r>
    <x v="2"/>
    <x v="0"/>
    <x v="0"/>
    <x v="3"/>
    <n v="580"/>
    <n v="2.7"/>
  </r>
  <r>
    <x v="2"/>
    <x v="0"/>
    <x v="0"/>
    <x v="4"/>
    <n v="242"/>
    <n v="1.1000000000000001"/>
  </r>
  <r>
    <x v="2"/>
    <x v="0"/>
    <x v="0"/>
    <x v="5"/>
    <n v="37"/>
    <n v="0.2"/>
  </r>
  <r>
    <x v="2"/>
    <x v="0"/>
    <x v="0"/>
    <x v="6"/>
    <n v="1417"/>
    <n v="6.5"/>
  </r>
  <r>
    <x v="2"/>
    <x v="0"/>
    <x v="0"/>
    <x v="7"/>
    <n v="831"/>
    <n v="3.8"/>
  </r>
  <r>
    <x v="2"/>
    <x v="0"/>
    <x v="0"/>
    <x v="8"/>
    <n v="26"/>
    <n v="0.1"/>
  </r>
  <r>
    <x v="2"/>
    <x v="0"/>
    <x v="1"/>
    <x v="9"/>
    <n v="9697"/>
    <n v="44.8"/>
  </r>
  <r>
    <x v="2"/>
    <x v="0"/>
    <x v="1"/>
    <x v="10"/>
    <n v="11948"/>
    <n v="55.2"/>
  </r>
  <r>
    <x v="2"/>
    <x v="0"/>
    <x v="2"/>
    <x v="11"/>
    <n v="2916"/>
    <n v="19.600000000000001"/>
  </r>
  <r>
    <x v="2"/>
    <x v="0"/>
    <x v="2"/>
    <x v="12"/>
    <n v="8986"/>
    <n v="60.5"/>
  </r>
  <r>
    <x v="2"/>
    <x v="0"/>
    <x v="2"/>
    <x v="13"/>
    <n v="1608"/>
    <n v="10.8"/>
  </r>
  <r>
    <x v="2"/>
    <x v="0"/>
    <x v="2"/>
    <x v="14"/>
    <n v="1340"/>
    <n v="9"/>
  </r>
  <r>
    <x v="2"/>
    <x v="0"/>
    <x v="3"/>
    <x v="15"/>
    <n v="2448"/>
    <n v="11.5"/>
  </r>
  <r>
    <x v="2"/>
    <x v="0"/>
    <x v="3"/>
    <x v="16"/>
    <n v="1994"/>
    <n v="9.4"/>
  </r>
  <r>
    <x v="2"/>
    <x v="0"/>
    <x v="3"/>
    <x v="17"/>
    <n v="1203"/>
    <n v="5.7"/>
  </r>
  <r>
    <x v="2"/>
    <x v="0"/>
    <x v="3"/>
    <x v="18"/>
    <n v="8161"/>
    <n v="38.4"/>
  </r>
  <r>
    <x v="2"/>
    <x v="0"/>
    <x v="3"/>
    <x v="19"/>
    <n v="5668"/>
    <n v="26.7"/>
  </r>
  <r>
    <x v="2"/>
    <x v="0"/>
    <x v="3"/>
    <x v="20"/>
    <n v="35"/>
    <n v="0.2"/>
  </r>
  <r>
    <x v="2"/>
    <x v="0"/>
    <x v="3"/>
    <x v="21"/>
    <n v="1758"/>
    <n v="8.3000000000000007"/>
  </r>
  <r>
    <x v="2"/>
    <x v="0"/>
    <x v="4"/>
    <x v="22"/>
    <n v="7904"/>
    <n v="52.5"/>
  </r>
  <r>
    <x v="2"/>
    <x v="0"/>
    <x v="4"/>
    <x v="23"/>
    <n v="862"/>
    <n v="5.7"/>
  </r>
  <r>
    <x v="2"/>
    <x v="0"/>
    <x v="4"/>
    <x v="24"/>
    <n v="451"/>
    <n v="3"/>
  </r>
  <r>
    <x v="2"/>
    <x v="0"/>
    <x v="4"/>
    <x v="25"/>
    <n v="2714"/>
    <n v="18"/>
  </r>
  <r>
    <x v="2"/>
    <x v="0"/>
    <x v="4"/>
    <x v="26"/>
    <n v="1616"/>
    <n v="10.7"/>
  </r>
  <r>
    <x v="2"/>
    <x v="0"/>
    <x v="4"/>
    <x v="27"/>
    <n v="1171"/>
    <n v="7.8"/>
  </r>
  <r>
    <x v="2"/>
    <x v="0"/>
    <x v="4"/>
    <x v="28"/>
    <n v="284"/>
    <n v="1.9"/>
  </r>
  <r>
    <x v="2"/>
    <x v="0"/>
    <x v="4"/>
    <x v="29"/>
    <n v="59"/>
    <n v="0.4"/>
  </r>
  <r>
    <x v="2"/>
    <x v="1"/>
    <x v="0"/>
    <x v="0"/>
    <n v="5425"/>
    <n v="25.8"/>
  </r>
  <r>
    <x v="2"/>
    <x v="1"/>
    <x v="0"/>
    <x v="1"/>
    <n v="3672"/>
    <n v="17.399999999999999"/>
  </r>
  <r>
    <x v="2"/>
    <x v="1"/>
    <x v="0"/>
    <x v="2"/>
    <n v="8298"/>
    <n v="39.4"/>
  </r>
  <r>
    <x v="2"/>
    <x v="1"/>
    <x v="0"/>
    <x v="3"/>
    <n v="522"/>
    <n v="2.5"/>
  </r>
  <r>
    <x v="2"/>
    <x v="1"/>
    <x v="0"/>
    <x v="4"/>
    <n v="234"/>
    <n v="1.1000000000000001"/>
  </r>
  <r>
    <x v="2"/>
    <x v="1"/>
    <x v="0"/>
    <x v="5"/>
    <n v="31"/>
    <n v="0.1"/>
  </r>
  <r>
    <x v="2"/>
    <x v="1"/>
    <x v="0"/>
    <x v="6"/>
    <n v="1988"/>
    <n v="9.4"/>
  </r>
  <r>
    <x v="2"/>
    <x v="1"/>
    <x v="0"/>
    <x v="7"/>
    <n v="845"/>
    <n v="4"/>
  </r>
  <r>
    <x v="2"/>
    <x v="1"/>
    <x v="0"/>
    <x v="8"/>
    <n v="29"/>
    <n v="0.1"/>
  </r>
  <r>
    <x v="2"/>
    <x v="1"/>
    <x v="1"/>
    <x v="9"/>
    <n v="10227"/>
    <n v="48.6"/>
  </r>
  <r>
    <x v="2"/>
    <x v="1"/>
    <x v="1"/>
    <x v="10"/>
    <n v="10817"/>
    <n v="51.4"/>
  </r>
  <r>
    <x v="2"/>
    <x v="1"/>
    <x v="2"/>
    <x v="11"/>
    <n v="3012"/>
    <n v="21.2"/>
  </r>
  <r>
    <x v="2"/>
    <x v="1"/>
    <x v="2"/>
    <x v="12"/>
    <n v="9050"/>
    <n v="63.6"/>
  </r>
  <r>
    <x v="2"/>
    <x v="1"/>
    <x v="2"/>
    <x v="13"/>
    <n v="1279"/>
    <n v="9"/>
  </r>
  <r>
    <x v="2"/>
    <x v="1"/>
    <x v="2"/>
    <x v="14"/>
    <n v="879"/>
    <n v="6.2"/>
  </r>
  <r>
    <x v="2"/>
    <x v="1"/>
    <x v="3"/>
    <x v="15"/>
    <n v="2349"/>
    <n v="11.4"/>
  </r>
  <r>
    <x v="2"/>
    <x v="1"/>
    <x v="3"/>
    <x v="16"/>
    <n v="2194"/>
    <n v="10.6"/>
  </r>
  <r>
    <x v="2"/>
    <x v="1"/>
    <x v="3"/>
    <x v="17"/>
    <n v="1551"/>
    <n v="7.5"/>
  </r>
  <r>
    <x v="2"/>
    <x v="1"/>
    <x v="3"/>
    <x v="18"/>
    <n v="10206"/>
    <n v="49.4"/>
  </r>
  <r>
    <x v="2"/>
    <x v="1"/>
    <x v="3"/>
    <x v="19"/>
    <n v="2724"/>
    <n v="13.2"/>
  </r>
  <r>
    <x v="2"/>
    <x v="1"/>
    <x v="3"/>
    <x v="20"/>
    <n v="10"/>
    <n v="0"/>
  </r>
  <r>
    <x v="2"/>
    <x v="1"/>
    <x v="3"/>
    <x v="21"/>
    <n v="1625"/>
    <n v="7.9"/>
  </r>
  <r>
    <x v="2"/>
    <x v="1"/>
    <x v="4"/>
    <x v="22"/>
    <n v="7292"/>
    <n v="50.4"/>
  </r>
  <r>
    <x v="2"/>
    <x v="1"/>
    <x v="4"/>
    <x v="23"/>
    <n v="972"/>
    <n v="6.7"/>
  </r>
  <r>
    <x v="2"/>
    <x v="1"/>
    <x v="4"/>
    <x v="24"/>
    <n v="479"/>
    <n v="3.3"/>
  </r>
  <r>
    <x v="2"/>
    <x v="1"/>
    <x v="4"/>
    <x v="25"/>
    <n v="2326"/>
    <n v="16.100000000000001"/>
  </r>
  <r>
    <x v="2"/>
    <x v="1"/>
    <x v="4"/>
    <x v="26"/>
    <n v="1898"/>
    <n v="13.1"/>
  </r>
  <r>
    <x v="2"/>
    <x v="1"/>
    <x v="4"/>
    <x v="27"/>
    <n v="1097"/>
    <n v="7.6"/>
  </r>
  <r>
    <x v="2"/>
    <x v="1"/>
    <x v="4"/>
    <x v="28"/>
    <n v="322"/>
    <n v="2.2000000000000002"/>
  </r>
  <r>
    <x v="2"/>
    <x v="1"/>
    <x v="4"/>
    <x v="29"/>
    <n v="70"/>
    <n v="0.5"/>
  </r>
  <r>
    <x v="3"/>
    <x v="0"/>
    <x v="0"/>
    <x v="0"/>
    <n v="6603"/>
    <n v="30.7"/>
  </r>
  <r>
    <x v="3"/>
    <x v="0"/>
    <x v="0"/>
    <x v="1"/>
    <n v="3869"/>
    <n v="18"/>
  </r>
  <r>
    <x v="3"/>
    <x v="0"/>
    <x v="0"/>
    <x v="2"/>
    <n v="8138"/>
    <n v="37.9"/>
  </r>
  <r>
    <x v="3"/>
    <x v="0"/>
    <x v="0"/>
    <x v="3"/>
    <n v="596"/>
    <n v="2.8"/>
  </r>
  <r>
    <x v="3"/>
    <x v="0"/>
    <x v="0"/>
    <x v="4"/>
    <n v="253"/>
    <n v="1.2"/>
  </r>
  <r>
    <x v="3"/>
    <x v="0"/>
    <x v="0"/>
    <x v="5"/>
    <n v="48"/>
    <n v="0.2"/>
  </r>
  <r>
    <x v="3"/>
    <x v="0"/>
    <x v="0"/>
    <x v="6"/>
    <n v="1301"/>
    <n v="6.1"/>
  </r>
  <r>
    <x v="3"/>
    <x v="0"/>
    <x v="0"/>
    <x v="7"/>
    <n v="658"/>
    <n v="3.1"/>
  </r>
  <r>
    <x v="3"/>
    <x v="0"/>
    <x v="0"/>
    <x v="8"/>
    <n v="30"/>
    <n v="0.1"/>
  </r>
  <r>
    <x v="3"/>
    <x v="0"/>
    <x v="1"/>
    <x v="9"/>
    <n v="9745"/>
    <n v="45.3"/>
  </r>
  <r>
    <x v="3"/>
    <x v="0"/>
    <x v="1"/>
    <x v="10"/>
    <n v="11751"/>
    <n v="54.7"/>
  </r>
  <r>
    <x v="3"/>
    <x v="0"/>
    <x v="2"/>
    <x v="11"/>
    <n v="3060"/>
    <n v="20.6"/>
  </r>
  <r>
    <x v="3"/>
    <x v="0"/>
    <x v="2"/>
    <x v="12"/>
    <n v="8951"/>
    <n v="60.2"/>
  </r>
  <r>
    <x v="3"/>
    <x v="0"/>
    <x v="2"/>
    <x v="13"/>
    <n v="1526"/>
    <n v="10.3"/>
  </r>
  <r>
    <x v="3"/>
    <x v="0"/>
    <x v="2"/>
    <x v="14"/>
    <n v="1328"/>
    <n v="8.9"/>
  </r>
  <r>
    <x v="3"/>
    <x v="0"/>
    <x v="3"/>
    <x v="15"/>
    <n v="2422"/>
    <n v="11.4"/>
  </r>
  <r>
    <x v="3"/>
    <x v="0"/>
    <x v="3"/>
    <x v="16"/>
    <n v="2028"/>
    <n v="9.6"/>
  </r>
  <r>
    <x v="3"/>
    <x v="0"/>
    <x v="3"/>
    <x v="17"/>
    <n v="1410"/>
    <n v="6.7"/>
  </r>
  <r>
    <x v="3"/>
    <x v="0"/>
    <x v="3"/>
    <x v="18"/>
    <n v="8060"/>
    <n v="38"/>
  </r>
  <r>
    <x v="3"/>
    <x v="0"/>
    <x v="3"/>
    <x v="19"/>
    <n v="5674"/>
    <n v="26.8"/>
  </r>
  <r>
    <x v="3"/>
    <x v="0"/>
    <x v="3"/>
    <x v="20"/>
    <n v="16"/>
    <n v="0.1"/>
  </r>
  <r>
    <x v="3"/>
    <x v="0"/>
    <x v="3"/>
    <x v="21"/>
    <n v="1583"/>
    <n v="7.5"/>
  </r>
  <r>
    <x v="3"/>
    <x v="0"/>
    <x v="4"/>
    <x v="22"/>
    <n v="8003"/>
    <n v="53"/>
  </r>
  <r>
    <x v="3"/>
    <x v="0"/>
    <x v="4"/>
    <x v="23"/>
    <n v="910"/>
    <n v="6"/>
  </r>
  <r>
    <x v="3"/>
    <x v="0"/>
    <x v="4"/>
    <x v="24"/>
    <n v="374"/>
    <n v="2.5"/>
  </r>
  <r>
    <x v="3"/>
    <x v="0"/>
    <x v="4"/>
    <x v="25"/>
    <n v="2616"/>
    <n v="17.3"/>
  </r>
  <r>
    <x v="3"/>
    <x v="0"/>
    <x v="4"/>
    <x v="26"/>
    <n v="1765"/>
    <n v="11.7"/>
  </r>
  <r>
    <x v="3"/>
    <x v="0"/>
    <x v="4"/>
    <x v="27"/>
    <n v="1085"/>
    <n v="7.2"/>
  </r>
  <r>
    <x v="3"/>
    <x v="0"/>
    <x v="4"/>
    <x v="28"/>
    <n v="282"/>
    <n v="1.9"/>
  </r>
  <r>
    <x v="3"/>
    <x v="0"/>
    <x v="4"/>
    <x v="29"/>
    <n v="57"/>
    <n v="0.4"/>
  </r>
  <r>
    <x v="3"/>
    <x v="1"/>
    <x v="0"/>
    <x v="0"/>
    <n v="5397"/>
    <n v="26.6"/>
  </r>
  <r>
    <x v="3"/>
    <x v="1"/>
    <x v="0"/>
    <x v="1"/>
    <n v="3618"/>
    <n v="17.8"/>
  </r>
  <r>
    <x v="3"/>
    <x v="1"/>
    <x v="0"/>
    <x v="2"/>
    <n v="7935"/>
    <n v="39"/>
  </r>
  <r>
    <x v="3"/>
    <x v="1"/>
    <x v="0"/>
    <x v="3"/>
    <n v="479"/>
    <n v="2.4"/>
  </r>
  <r>
    <x v="3"/>
    <x v="1"/>
    <x v="0"/>
    <x v="4"/>
    <n v="195"/>
    <n v="1"/>
  </r>
  <r>
    <x v="3"/>
    <x v="1"/>
    <x v="0"/>
    <x v="5"/>
    <n v="25"/>
    <n v="0.1"/>
  </r>
  <r>
    <x v="3"/>
    <x v="1"/>
    <x v="0"/>
    <x v="6"/>
    <n v="1814"/>
    <n v="8.9"/>
  </r>
  <r>
    <x v="3"/>
    <x v="1"/>
    <x v="0"/>
    <x v="7"/>
    <n v="833"/>
    <n v="4.0999999999999996"/>
  </r>
  <r>
    <x v="3"/>
    <x v="1"/>
    <x v="0"/>
    <x v="8"/>
    <n v="29"/>
    <n v="0.1"/>
  </r>
  <r>
    <x v="3"/>
    <x v="1"/>
    <x v="1"/>
    <x v="9"/>
    <n v="9730"/>
    <n v="47.9"/>
  </r>
  <r>
    <x v="3"/>
    <x v="1"/>
    <x v="1"/>
    <x v="10"/>
    <n v="10595"/>
    <n v="52.1"/>
  </r>
  <r>
    <x v="3"/>
    <x v="1"/>
    <x v="2"/>
    <x v="11"/>
    <n v="2893"/>
    <n v="21.1"/>
  </r>
  <r>
    <x v="3"/>
    <x v="1"/>
    <x v="2"/>
    <x v="12"/>
    <n v="8696"/>
    <n v="63.3"/>
  </r>
  <r>
    <x v="3"/>
    <x v="1"/>
    <x v="2"/>
    <x v="13"/>
    <n v="1223"/>
    <n v="8.9"/>
  </r>
  <r>
    <x v="3"/>
    <x v="1"/>
    <x v="2"/>
    <x v="14"/>
    <n v="922"/>
    <n v="6.7"/>
  </r>
  <r>
    <x v="3"/>
    <x v="1"/>
    <x v="3"/>
    <x v="15"/>
    <n v="2251"/>
    <n v="11.3"/>
  </r>
  <r>
    <x v="3"/>
    <x v="1"/>
    <x v="3"/>
    <x v="16"/>
    <n v="2102"/>
    <n v="10.5"/>
  </r>
  <r>
    <x v="3"/>
    <x v="1"/>
    <x v="3"/>
    <x v="17"/>
    <n v="1792"/>
    <n v="9"/>
  </r>
  <r>
    <x v="3"/>
    <x v="1"/>
    <x v="3"/>
    <x v="18"/>
    <n v="9575"/>
    <n v="48"/>
  </r>
  <r>
    <x v="3"/>
    <x v="1"/>
    <x v="3"/>
    <x v="19"/>
    <n v="2717"/>
    <n v="13.6"/>
  </r>
  <r>
    <x v="3"/>
    <x v="1"/>
    <x v="3"/>
    <x v="20"/>
    <n v="14"/>
    <n v="0.1"/>
  </r>
  <r>
    <x v="3"/>
    <x v="1"/>
    <x v="3"/>
    <x v="21"/>
    <n v="1491"/>
    <n v="7.5"/>
  </r>
  <r>
    <x v="3"/>
    <x v="1"/>
    <x v="4"/>
    <x v="22"/>
    <n v="7137"/>
    <n v="51"/>
  </r>
  <r>
    <x v="3"/>
    <x v="1"/>
    <x v="4"/>
    <x v="23"/>
    <n v="923"/>
    <n v="6.6"/>
  </r>
  <r>
    <x v="3"/>
    <x v="1"/>
    <x v="4"/>
    <x v="24"/>
    <n v="390"/>
    <n v="2.8"/>
  </r>
  <r>
    <x v="3"/>
    <x v="1"/>
    <x v="4"/>
    <x v="25"/>
    <n v="2470"/>
    <n v="17.600000000000001"/>
  </r>
  <r>
    <x v="3"/>
    <x v="1"/>
    <x v="4"/>
    <x v="26"/>
    <n v="1836"/>
    <n v="13.1"/>
  </r>
  <r>
    <x v="3"/>
    <x v="1"/>
    <x v="4"/>
    <x v="27"/>
    <n v="935"/>
    <n v="6.7"/>
  </r>
  <r>
    <x v="3"/>
    <x v="1"/>
    <x v="4"/>
    <x v="28"/>
    <n v="259"/>
    <n v="1.9"/>
  </r>
  <r>
    <x v="3"/>
    <x v="1"/>
    <x v="4"/>
    <x v="29"/>
    <n v="49"/>
    <n v="0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6B06C-C294-4536-A681-85BC1DDE62B6}" name="Сводная таблица5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rowHeaderCaption="5 худших показателей">
  <location ref="A123:B128" firstHeaderRow="1" firstDataRow="1" firstDataCol="1"/>
  <pivotFields count="16">
    <pivotField showAll="0" defaultSubtotal="0">
      <items count="4">
        <item x="0"/>
        <item x="1"/>
        <item x="2"/>
        <item x="3"/>
      </items>
    </pivotField>
    <pivotField axis="axisRow" showAll="0" measureFilter="1" defaultSubtotal="0">
      <items count="83">
        <item x="0"/>
        <item x="60"/>
        <item x="14"/>
        <item x="15"/>
        <item x="16"/>
        <item x="61"/>
        <item x="17"/>
        <item x="18"/>
        <item x="62"/>
        <item x="63"/>
        <item x="19"/>
        <item x="51"/>
        <item x="20"/>
        <item x="64"/>
        <item x="65"/>
        <item x="21"/>
        <item x="66"/>
        <item x="52"/>
        <item x="22"/>
        <item x="67"/>
        <item x="53"/>
        <item x="23"/>
        <item x="54"/>
        <item x="68"/>
        <item x="24"/>
        <item x="55"/>
        <item x="69"/>
        <item x="25"/>
        <item x="70"/>
        <item x="26"/>
        <item x="71"/>
        <item x="72"/>
        <item x="27"/>
        <item x="73"/>
        <item x="28"/>
        <item x="74"/>
        <item x="29"/>
        <item x="75"/>
        <item x="30"/>
        <item x="76"/>
        <item x="31"/>
        <item x="32"/>
        <item x="77"/>
        <item x="33"/>
        <item x="78"/>
        <item x="34"/>
        <item x="79"/>
        <item x="80"/>
        <item x="81"/>
        <item x="82"/>
        <item x="35"/>
        <item x="36"/>
        <item x="37"/>
        <item x="38"/>
        <item x="39"/>
        <item x="40"/>
        <item x="1"/>
        <item x="41"/>
        <item x="42"/>
        <item x="43"/>
        <item x="44"/>
        <item x="2"/>
        <item x="3"/>
        <item x="45"/>
        <item x="4"/>
        <item x="5"/>
        <item x="46"/>
        <item x="47"/>
        <item x="48"/>
        <item x="6"/>
        <item x="49"/>
        <item x="56"/>
        <item x="50"/>
        <item x="7"/>
        <item x="8"/>
        <item x="9"/>
        <item x="10"/>
        <item x="11"/>
        <item x="12"/>
        <item x="13"/>
        <item x="57"/>
        <item x="58"/>
        <item x="59"/>
      </items>
    </pivotField>
    <pivotField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4" showAll="0" defaultSubtotal="0"/>
  </pivotFields>
  <rowFields count="1">
    <field x="1"/>
  </rowFields>
  <rowItems count="5">
    <i>
      <x v="5"/>
    </i>
    <i>
      <x v="7"/>
    </i>
    <i>
      <x v="8"/>
    </i>
    <i>
      <x v="10"/>
    </i>
    <i>
      <x v="11"/>
    </i>
  </rowItems>
  <colItems count="1">
    <i/>
  </colItems>
  <dataFields count="1">
    <dataField name="Средневзвешенный балл " fld="15" subtotal="average" baseField="0" baseItem="0" numFmtId="164"/>
  </dataField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FEF0B-0589-4CD7-B252-4F2C1EAF68F7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rowHeaderCaption="5 лучших показателей">
  <location ref="A115:B120" firstHeaderRow="1" firstDataRow="1" firstDataCol="1"/>
  <pivotFields count="16">
    <pivotField showAll="0" defaultSubtotal="0">
      <items count="4">
        <item x="0"/>
        <item x="1"/>
        <item x="2"/>
        <item x="3"/>
      </items>
    </pivotField>
    <pivotField axis="axisRow" showAll="0" measureFilter="1" defaultSubtotal="0">
      <items count="83">
        <item x="0"/>
        <item x="60"/>
        <item x="14"/>
        <item x="15"/>
        <item x="16"/>
        <item x="61"/>
        <item x="17"/>
        <item x="18"/>
        <item x="62"/>
        <item x="63"/>
        <item x="19"/>
        <item x="51"/>
        <item x="20"/>
        <item x="64"/>
        <item x="65"/>
        <item x="21"/>
        <item x="66"/>
        <item x="52"/>
        <item x="22"/>
        <item x="67"/>
        <item x="53"/>
        <item x="23"/>
        <item x="54"/>
        <item x="68"/>
        <item x="24"/>
        <item x="55"/>
        <item x="69"/>
        <item x="25"/>
        <item x="70"/>
        <item x="26"/>
        <item x="71"/>
        <item x="72"/>
        <item x="27"/>
        <item x="73"/>
        <item x="28"/>
        <item x="74"/>
        <item x="29"/>
        <item x="75"/>
        <item x="30"/>
        <item x="76"/>
        <item x="31"/>
        <item x="32"/>
        <item x="77"/>
        <item x="33"/>
        <item x="78"/>
        <item x="34"/>
        <item x="79"/>
        <item x="80"/>
        <item x="81"/>
        <item x="82"/>
        <item x="35"/>
        <item x="36"/>
        <item x="37"/>
        <item x="38"/>
        <item x="39"/>
        <item x="40"/>
        <item x="1"/>
        <item x="41"/>
        <item x="42"/>
        <item x="43"/>
        <item x="44"/>
        <item x="2"/>
        <item x="3"/>
        <item x="45"/>
        <item x="4"/>
        <item x="5"/>
        <item x="46"/>
        <item x="47"/>
        <item x="48"/>
        <item x="6"/>
        <item x="49"/>
        <item x="56"/>
        <item x="50"/>
        <item x="7"/>
        <item x="8"/>
        <item x="9"/>
        <item x="10"/>
        <item x="11"/>
        <item x="12"/>
        <item x="13"/>
        <item x="57"/>
        <item x="58"/>
        <item x="59"/>
      </items>
    </pivotField>
    <pivotField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4" showAll="0" defaultSubtotal="0"/>
  </pivotFields>
  <rowFields count="1">
    <field x="1"/>
  </rowFields>
  <rowItems count="5">
    <i>
      <x v="33"/>
    </i>
    <i>
      <x v="66"/>
    </i>
    <i>
      <x v="67"/>
    </i>
    <i>
      <x v="68"/>
    </i>
    <i>
      <x v="72"/>
    </i>
  </rowItems>
  <colItems count="1">
    <i/>
  </colItems>
  <dataFields count="1">
    <dataField name="Средневзвешенный балл " fld="15" subtotal="average" baseField="0" baseItem="0" numFmtId="164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7B4B6-BD6B-4AA8-A70D-8B89E279FC7A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>
  <location ref="G29:K282" firstHeaderRow="1" firstDataRow="2" firstDataCol="1"/>
  <pivotFields count="16">
    <pivotField axis="axisCol" showAll="0" defaultSubtotal="0">
      <items count="4">
        <item x="0"/>
        <item x="1"/>
        <item x="2"/>
        <item x="3"/>
      </items>
    </pivotField>
    <pivotField axis="axisRow" showAll="0" defaultSubtotal="0">
      <items count="83">
        <item x="0"/>
        <item x="60"/>
        <item x="14"/>
        <item x="15"/>
        <item x="16"/>
        <item x="61"/>
        <item x="17"/>
        <item x="18"/>
        <item x="62"/>
        <item x="63"/>
        <item x="19"/>
        <item x="51"/>
        <item x="20"/>
        <item x="64"/>
        <item x="65"/>
        <item x="21"/>
        <item x="66"/>
        <item x="52"/>
        <item x="22"/>
        <item x="67"/>
        <item x="53"/>
        <item x="23"/>
        <item x="54"/>
        <item x="68"/>
        <item x="24"/>
        <item x="55"/>
        <item x="69"/>
        <item x="25"/>
        <item x="70"/>
        <item x="26"/>
        <item x="71"/>
        <item x="72"/>
        <item x="27"/>
        <item x="73"/>
        <item x="28"/>
        <item x="74"/>
        <item x="29"/>
        <item x="75"/>
        <item x="30"/>
        <item x="76"/>
        <item x="31"/>
        <item x="32"/>
        <item x="77"/>
        <item x="33"/>
        <item x="78"/>
        <item x="34"/>
        <item x="79"/>
        <item x="80"/>
        <item x="81"/>
        <item x="82"/>
        <item x="35"/>
        <item x="36"/>
        <item x="37"/>
        <item x="38"/>
        <item x="39"/>
        <item x="40"/>
        <item x="1"/>
        <item x="41"/>
        <item x="42"/>
        <item x="43"/>
        <item x="44"/>
        <item x="2"/>
        <item x="3"/>
        <item x="45"/>
        <item x="4"/>
        <item x="5"/>
        <item x="46"/>
        <item x="47"/>
        <item x="48"/>
        <item x="6"/>
        <item x="49"/>
        <item x="56"/>
        <item x="50"/>
        <item x="7"/>
        <item x="8"/>
        <item x="9"/>
        <item x="10"/>
        <item x="11"/>
        <item x="12"/>
        <item x="13"/>
        <item x="57"/>
        <item x="58"/>
        <item x="59"/>
      </items>
    </pivotField>
    <pivotField axis="axisRow"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4" showAll="0" defaultSubtotal="0"/>
  </pivotFields>
  <rowFields count="2">
    <field x="2"/>
    <field x="1"/>
  </rowFields>
  <rowItems count="25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Средневзвешенный балл изменение" fld="15" subtotal="average" baseField="0" baseItem="0" numFmtId="164"/>
  </dataField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FCBE9F-18CA-4CE1-8610-228AF0A524A1}" name="Сводная таблица7" cacheId="0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5">
  <location ref="A30:D113" firstHeaderRow="0" firstDataRow="1" firstDataCol="1"/>
  <pivotFields count="8">
    <pivotField showAll="0" defaultSubtotal="0">
      <items count="4">
        <item x="0"/>
        <item x="1"/>
        <item x="2"/>
        <item x="3"/>
      </items>
    </pivotField>
    <pivotField axis="axisRow" showAll="0" defaultSubtotal="0">
      <items count="83">
        <item x="0"/>
        <item x="60"/>
        <item x="14"/>
        <item x="15"/>
        <item x="16"/>
        <item x="61"/>
        <item x="17"/>
        <item x="18"/>
        <item x="62"/>
        <item x="63"/>
        <item x="19"/>
        <item x="51"/>
        <item x="20"/>
        <item x="64"/>
        <item x="65"/>
        <item x="21"/>
        <item x="66"/>
        <item x="52"/>
        <item x="22"/>
        <item x="67"/>
        <item x="53"/>
        <item x="23"/>
        <item x="54"/>
        <item x="68"/>
        <item x="24"/>
        <item x="55"/>
        <item x="69"/>
        <item x="25"/>
        <item x="70"/>
        <item x="26"/>
        <item x="71"/>
        <item x="72"/>
        <item x="27"/>
        <item x="73"/>
        <item x="28"/>
        <item x="74"/>
        <item x="29"/>
        <item x="75"/>
        <item x="30"/>
        <item x="76"/>
        <item x="31"/>
        <item x="32"/>
        <item x="77"/>
        <item x="33"/>
        <item x="78"/>
        <item x="34"/>
        <item x="79"/>
        <item x="80"/>
        <item x="81"/>
        <item x="82"/>
        <item x="35"/>
        <item x="36"/>
        <item x="37"/>
        <item x="38"/>
        <item x="39"/>
        <item x="40"/>
        <item x="1"/>
        <item x="41"/>
        <item x="42"/>
        <item x="43"/>
        <item x="44"/>
        <item x="2"/>
        <item x="3"/>
        <item x="45"/>
        <item x="4"/>
        <item x="5"/>
        <item x="46"/>
        <item x="47"/>
        <item x="48"/>
        <item x="6"/>
        <item x="49"/>
        <item x="56"/>
        <item x="50"/>
        <item x="7"/>
        <item x="8"/>
        <item x="9"/>
        <item x="10"/>
        <item x="11"/>
        <item x="12"/>
        <item x="13"/>
        <item x="57"/>
        <item x="58"/>
        <item x="59"/>
      </items>
    </pivotField>
    <pivotField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</pivotFields>
  <rowFields count="1">
    <field x="1"/>
  </rowFields>
  <rowItems count="8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</rowItems>
  <colFields count="1">
    <field x="-2"/>
  </colFields>
  <colItems count="3">
    <i>
      <x/>
    </i>
    <i i="1">
      <x v="1"/>
    </i>
    <i i="2">
      <x v="2"/>
    </i>
  </colItems>
  <dataFields count="3">
    <dataField name=" % плохо" fld="3" subtotal="average" baseField="0" baseItem="0"/>
    <dataField name="% средне" fld="4" subtotal="average" baseField="0" baseItem="0"/>
    <dataField name="% хорошо" fld="5" subtotal="average" baseField="0" baseItem="0"/>
  </dataFields>
  <conditionalFormats count="1">
    <conditionalFormat priority="2">
      <pivotAreas count="1">
        <pivotArea type="data" outline="0" collapsedLevelsAreSubtotals="1" fieldPosition="0"/>
      </pivotAreas>
    </conditionalFormat>
  </conditional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42618-3585-4589-95A9-220F418A49DB}" name="Сводная таблица5" cacheId="2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3">
  <location ref="E27:G36" firstHeaderRow="1" firstDataRow="3" firstDataCol="1" rowPageCount="1" colPageCount="1"/>
  <pivotFields count="6">
    <pivotField axis="axisCol" showAll="0" defaultSubtotal="0">
      <items count="4">
        <item h="1" x="0"/>
        <item h="1" x="1"/>
        <item h="1" x="2"/>
        <item x="3"/>
      </items>
    </pivotField>
    <pivotField axis="axisCol" showAll="0" defaultSubtotal="0">
      <items count="2">
        <item x="1"/>
        <item x="0"/>
      </items>
    </pivotField>
    <pivotField axis="axisPage" showAll="0" defaultSubtotal="0">
      <items count="5">
        <item x="3"/>
        <item x="4"/>
        <item x="1"/>
        <item x="0"/>
        <item x="2"/>
      </items>
    </pivotField>
    <pivotField axis="axisRow" showAll="0" defaultSubtotal="0">
      <items count="30">
        <item x="17"/>
        <item x="2"/>
        <item x="28"/>
        <item x="14"/>
        <item x="22"/>
        <item x="10"/>
        <item x="18"/>
        <item x="6"/>
        <item x="5"/>
        <item x="0"/>
        <item x="19"/>
        <item x="27"/>
        <item x="9"/>
        <item x="12"/>
        <item x="11"/>
        <item x="21"/>
        <item x="8"/>
        <item x="29"/>
        <item x="7"/>
        <item x="3"/>
        <item x="25"/>
        <item x="20"/>
        <item x="15"/>
        <item x="16"/>
        <item x="23"/>
        <item x="4"/>
        <item x="1"/>
        <item x="26"/>
        <item x="24"/>
        <item x="13"/>
      </items>
    </pivotField>
    <pivotField showAll="0" defaultSubtotal="0"/>
    <pivotField dataField="1" showAll="0" defaultSubtotal="0"/>
  </pivotFields>
  <rowFields count="1">
    <field x="3"/>
  </rowFields>
  <rowItems count="7">
    <i>
      <x/>
    </i>
    <i>
      <x v="6"/>
    </i>
    <i>
      <x v="10"/>
    </i>
    <i>
      <x v="15"/>
    </i>
    <i>
      <x v="21"/>
    </i>
    <i>
      <x v="22"/>
    </i>
    <i>
      <x v="23"/>
    </i>
  </rowItems>
  <colFields count="2">
    <field x="1"/>
    <field x="0"/>
  </colFields>
  <colItems count="2">
    <i>
      <x/>
      <x v="3"/>
    </i>
    <i>
      <x v="1"/>
      <x v="3"/>
    </i>
  </colItems>
  <pageFields count="1">
    <pageField fld="2" item="0" hier="-1"/>
  </pageFields>
  <dataFields count="1">
    <dataField name="Среднее по полю Percentage" fld="5" subtotal="average" baseField="0" baseItem="0"/>
  </dataFields>
  <chartFormats count="2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9C07B-A151-4839-A64C-CC373D474C2A}" name="Сводная таблица4" cacheId="2" applyNumberFormats="0" applyBorderFormats="0" applyFontFormats="0" applyPatternFormats="0" applyAlignmentFormats="0" applyWidthHeightFormats="1" dataCaption="Значения" updatedVersion="8" minRefreshableVersion="3" useAutoFormatting="1" rowGrandTotals="0" colGrandTotals="0" itemPrintTitles="1" createdVersion="8" indent="0" outline="1" outlineData="1" multipleFieldFilters="0" chartFormat="3">
  <location ref="A27:C37" firstHeaderRow="1" firstDataRow="3" firstDataCol="1" rowPageCount="1" colPageCount="1"/>
  <pivotFields count="6">
    <pivotField axis="axisCol" showAll="0" defaultSubtotal="0">
      <items count="4">
        <item h="1" x="0"/>
        <item h="1" x="1"/>
        <item h="1" x="2"/>
        <item x="3"/>
      </items>
    </pivotField>
    <pivotField axis="axisCol" showAll="0" defaultSubtotal="0">
      <items count="2">
        <item x="1"/>
        <item x="0"/>
      </items>
    </pivotField>
    <pivotField axis="axisPage" showAll="0" defaultSubtotal="0">
      <items count="5">
        <item x="3"/>
        <item x="4"/>
        <item x="1"/>
        <item x="0"/>
        <item x="2"/>
      </items>
    </pivotField>
    <pivotField axis="axisRow" showAll="0" defaultSubtotal="0">
      <items count="30">
        <item x="17"/>
        <item x="2"/>
        <item x="28"/>
        <item x="14"/>
        <item x="22"/>
        <item x="10"/>
        <item x="18"/>
        <item x="6"/>
        <item x="5"/>
        <item x="0"/>
        <item x="19"/>
        <item x="27"/>
        <item x="9"/>
        <item x="12"/>
        <item x="11"/>
        <item x="21"/>
        <item x="8"/>
        <item x="29"/>
        <item x="7"/>
        <item x="3"/>
        <item x="25"/>
        <item x="20"/>
        <item x="15"/>
        <item x="16"/>
        <item x="23"/>
        <item x="4"/>
        <item x="1"/>
        <item x="26"/>
        <item x="24"/>
        <item x="13"/>
      </items>
    </pivotField>
    <pivotField showAll="0" defaultSubtotal="0"/>
    <pivotField dataField="1" showAll="0" defaultSubtotal="0"/>
  </pivotFields>
  <rowFields count="1">
    <field x="3"/>
  </rowFields>
  <rowItems count="8">
    <i>
      <x v="2"/>
    </i>
    <i>
      <x v="4"/>
    </i>
    <i>
      <x v="11"/>
    </i>
    <i>
      <x v="17"/>
    </i>
    <i>
      <x v="20"/>
    </i>
    <i>
      <x v="24"/>
    </i>
    <i>
      <x v="27"/>
    </i>
    <i>
      <x v="28"/>
    </i>
  </rowItems>
  <colFields count="2">
    <field x="1"/>
    <field x="0"/>
  </colFields>
  <colItems count="2">
    <i>
      <x/>
      <x v="3"/>
    </i>
    <i>
      <x v="1"/>
      <x v="3"/>
    </i>
  </colItems>
  <pageFields count="1">
    <pageField fld="2" item="1" hier="-1"/>
  </pageFields>
  <dataFields count="1">
    <dataField name="Среднее по полю Percentage" fld="5" subtotal="average" baseField="0" baseItem="0"/>
  </dataFields>
  <chartFormats count="2">
    <chartFormat chart="0" format="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4C989-A958-46E0-B2E8-5881AF023548}" name="Сводная таблица1" cacheId="2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3:E20" firstHeaderRow="1" firstDataRow="2" firstDataCol="1" rowPageCount="1" colPageCount="1"/>
  <pivotFields count="6">
    <pivotField axis="axisCol" showAll="0" defaultSubtotal="0">
      <items count="4">
        <item x="0"/>
        <item x="1"/>
        <item x="2"/>
        <item x="3"/>
      </items>
    </pivotField>
    <pivotField axis="axisRow" showAll="0" defaultSubtotal="0">
      <items count="2">
        <item x="1"/>
        <item x="0"/>
      </items>
    </pivotField>
    <pivotField axis="axisPage" showAll="0" defaultSubtotal="0">
      <items count="5">
        <item x="3"/>
        <item x="4"/>
        <item x="1"/>
        <item x="0"/>
        <item x="2"/>
      </items>
    </pivotField>
    <pivotField axis="axisRow" showAll="0" defaultSubtotal="0">
      <items count="30">
        <item x="17"/>
        <item x="2"/>
        <item x="28"/>
        <item x="14"/>
        <item x="22"/>
        <item x="10"/>
        <item x="18"/>
        <item x="6"/>
        <item x="5"/>
        <item x="0"/>
        <item x="19"/>
        <item x="27"/>
        <item x="9"/>
        <item x="12"/>
        <item x="11"/>
        <item x="21"/>
        <item x="8"/>
        <item x="29"/>
        <item x="7"/>
        <item x="3"/>
        <item x="25"/>
        <item x="20"/>
        <item x="15"/>
        <item x="16"/>
        <item x="23"/>
        <item x="4"/>
        <item x="1"/>
        <item x="26"/>
        <item x="24"/>
        <item x="13"/>
      </items>
    </pivotField>
    <pivotField showAll="0" defaultSubtotal="0"/>
    <pivotField dataField="1" showAll="0" defaultSubtotal="0"/>
  </pivotFields>
  <rowFields count="2">
    <field x="1"/>
    <field x="3"/>
  </rowFields>
  <rowItems count="16">
    <i>
      <x/>
    </i>
    <i r="1">
      <x/>
    </i>
    <i r="1">
      <x v="6"/>
    </i>
    <i r="1">
      <x v="10"/>
    </i>
    <i r="1">
      <x v="15"/>
    </i>
    <i r="1">
      <x v="21"/>
    </i>
    <i r="1">
      <x v="22"/>
    </i>
    <i r="1">
      <x v="23"/>
    </i>
    <i>
      <x v="1"/>
    </i>
    <i r="1">
      <x/>
    </i>
    <i r="1">
      <x v="6"/>
    </i>
    <i r="1">
      <x v="10"/>
    </i>
    <i r="1">
      <x v="15"/>
    </i>
    <i r="1">
      <x v="21"/>
    </i>
    <i r="1">
      <x v="22"/>
    </i>
    <i r="1">
      <x v="23"/>
    </i>
  </rowItems>
  <colFields count="1">
    <field x="0"/>
  </colFields>
  <colItems count="4">
    <i>
      <x/>
    </i>
    <i>
      <x v="1"/>
    </i>
    <i>
      <x v="2"/>
    </i>
    <i>
      <x v="3"/>
    </i>
  </colItems>
  <pageFields count="1">
    <pageField fld="2" item="0" hier="-1"/>
  </pageFields>
  <dataFields count="1">
    <dataField name="Среднее по полю Percentage" fld="5" subtotal="average" baseField="0" baseItem="0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0E0A8F4-7184-453D-B9D4-8099A1CC07FE}" autoFormatId="16" applyNumberFormats="0" applyBorderFormats="0" applyFontFormats="0" applyPatternFormats="0" applyAlignmentFormats="0" applyWidthHeightFormats="0">
  <queryTableRefresh nextId="12">
    <queryTableFields count="11">
      <queryTableField id="1" name="Year" tableColumnId="1"/>
      <queryTableField id="2" name="Region" tableColumnId="2"/>
      <queryTableField id="3" name="Families_Count" tableColumnId="3"/>
      <queryTableField id="4" name="Goods" tableColumnId="4"/>
      <queryTableField id="5" name="Communal" tableColumnId="5"/>
      <queryTableField id="6" name="Svyaz" tableColumnId="6"/>
      <queryTableField id="7" name="Education" tableColumnId="7"/>
      <queryTableField id="8" name="Health" tableColumnId="8"/>
      <queryTableField id="9" name="Culture_Rest" tableColumnId="9"/>
      <queryTableField id="10" name="Transport" tableColumnId="10"/>
      <queryTableField id="11" name="TOTAL_EXPENSE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7C583E8-0B48-4E32-8604-2946A823A184}" autoFormatId="16" applyNumberFormats="0" applyBorderFormats="0" applyFontFormats="0" applyPatternFormats="0" applyAlignmentFormats="0" applyWidthHeightFormats="0">
  <queryTableRefresh nextId="9">
    <queryTableFields count="8">
      <queryTableField id="1" name="Год" tableColumnId="1"/>
      <queryTableField id="2" name="Вопрос" tableColumnId="2"/>
      <queryTableField id="3" name="Опрошено (чел)" tableColumnId="3"/>
      <queryTableField id="4" name="Всего: % плохо" tableColumnId="4"/>
      <queryTableField id="5" name="Всего: % средне" tableColumnId="5"/>
      <queryTableField id="6" name="Всего: % хорошо" tableColumnId="6"/>
      <queryTableField id="7" name="Город: % хорошо" tableColumnId="7"/>
      <queryTableField id="8" name="Село: % хорошо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46DC91F8-38C8-4142-8F8A-F9996F05C29B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Год" tableColumnId="1"/>
      <queryTableField id="2" name="Вопрос" tableColumnId="2"/>
      <queryTableField id="3" name="Местность" tableColumnId="3"/>
      <queryTableField id="4" name="Опрошено (баллы 1-10)" tableColumnId="4"/>
      <queryTableField id="5" name="% балл 1" tableColumnId="5"/>
      <queryTableField id="6" name="% балл 2" tableColumnId="6"/>
      <queryTableField id="7" name="% балл 3" tableColumnId="7"/>
      <queryTableField id="8" name="% балл 4" tableColumnId="8"/>
      <queryTableField id="9" name="% балл 5" tableColumnId="9"/>
      <queryTableField id="10" name="% балл 6" tableColumnId="10"/>
      <queryTableField id="11" name="% балл 7" tableColumnId="11"/>
      <queryTableField id="12" name="% балл 8" tableColumnId="12"/>
      <queryTableField id="13" name="% балл 9" tableColumnId="13"/>
      <queryTableField id="14" name="% балл 10" tableColumnId="14"/>
      <queryTableField id="15" name="Доля ответов 89 от всех, %" tableColumnId="15"/>
      <queryTableField id="16" dataBound="0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0B801C-B82F-49F8-9DB4-1A43904C8F48}" autoFormatId="16" applyNumberFormats="0" applyBorderFormats="0" applyFontFormats="0" applyPatternFormats="0" applyAlignmentFormats="0" applyWidthHeightFormats="0">
  <queryTableRefresh nextId="8">
    <queryTableFields count="6">
      <queryTableField id="1" name="Year" tableColumnId="1"/>
      <queryTableField id="2" name="Region" tableColumnId="2"/>
      <queryTableField id="7" dataBound="0" tableColumnId="7"/>
      <queryTableField id="4" name="Answer" tableColumnId="4"/>
      <queryTableField id="5" name="Count" tableColumnId="5"/>
      <queryTableField id="6" name="Percentage" tableColumnId="6"/>
    </queryTableFields>
    <queryTableDeletedFields count="1">
      <deletedField name="Category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6A19791-8E63-45E1-A67F-3D8620E6DFF4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Region" tableColumnId="2"/>
      <queryTableField id="3" name="Families_Count" tableColumnId="3"/>
      <queryTableField id="4" name="Avg_Area_SqM" tableColumnId="4"/>
      <queryTableField id="5" name="Avg_Rooms" tableColumnId="5"/>
      <queryTableField id="6" name="Central_Heating_Pct" tableColumnId="6"/>
      <queryTableField id="7" name="Indoor_Water_Pct" tableColumnId="7"/>
      <queryTableField id="8" name="Fixed_Internet_Pct" tableColumnId="8"/>
      <queryTableField id="9" name="Cars_per_100_Familie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A16A2A-3083-4BE0-A8F0-8DE6AD99A372}" name="full_family_expenses_final" displayName="full_family_expenses_final" ref="A1:K9" tableType="queryTable" totalsRowShown="0">
  <autoFilter ref="A1:K9" xr:uid="{15A16A2A-3083-4BE0-A8F0-8DE6AD99A372}"/>
  <tableColumns count="11">
    <tableColumn id="1" xr3:uid="{C37AD8D7-FB4F-4EFA-B33F-AA7AC1A55008}" uniqueName="1" name="Year" queryTableFieldId="1"/>
    <tableColumn id="2" xr3:uid="{87147B8F-0F0F-4E7F-9651-35B42B4D821F}" uniqueName="2" name="Region" queryTableFieldId="2" dataDxfId="10"/>
    <tableColumn id="3" xr3:uid="{9F443CE1-5942-43DF-AC85-15CB996D97FB}" uniqueName="3" name="Families_Count" queryTableFieldId="3"/>
    <tableColumn id="4" xr3:uid="{F0FA3CF8-E03E-49DC-8ABD-2EBA5D82DF99}" uniqueName="4" name="Goods" queryTableFieldId="4"/>
    <tableColumn id="5" xr3:uid="{3FEC251C-E979-4BF6-88C2-DD841EE4C174}" uniqueName="5" name="Communal" queryTableFieldId="5"/>
    <tableColumn id="6" xr3:uid="{1E573895-C20A-4250-A1F5-6D32A8D70AA4}" uniqueName="6" name="Svyaz" queryTableFieldId="6"/>
    <tableColumn id="7" xr3:uid="{A6F78BB5-F1E5-4ECC-98FA-1AD66653EAFB}" uniqueName="7" name="Education" queryTableFieldId="7"/>
    <tableColumn id="8" xr3:uid="{78998868-AF29-4320-804C-AD70069235EA}" uniqueName="8" name="Health" queryTableFieldId="8"/>
    <tableColumn id="9" xr3:uid="{CE521D2E-C36D-45F8-9413-B68E0B5087F3}" uniqueName="9" name="Culture_Rest" queryTableFieldId="9"/>
    <tableColumn id="10" xr3:uid="{6A0D5D46-1B70-48CE-9DE4-10E61492F338}" uniqueName="10" name="Transport" queryTableFieldId="10"/>
    <tableColumn id="11" xr3:uid="{9EDA39D8-ED36-4C47-8F09-A83504E6EE21}" uniqueName="11" name="TOTAL_EXPENSES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50D183-BF0E-499B-A668-742812D07C11}" name="rezultat" displayName="rezultat" ref="A1:H158" tableType="queryTable" totalsRowShown="0">
  <autoFilter ref="A1:H158" xr:uid="{BD50D183-BF0E-499B-A668-742812D07C11}"/>
  <tableColumns count="8">
    <tableColumn id="1" xr3:uid="{CC8DA224-FA42-4D08-B7AD-41431489F6C6}" uniqueName="1" name="Год" queryTableFieldId="1"/>
    <tableColumn id="2" xr3:uid="{01821F11-9F2A-4247-B271-24ABA19307C6}" uniqueName="2" name="Вопрос" queryTableFieldId="2" dataDxfId="9"/>
    <tableColumn id="3" xr3:uid="{B8457DA2-D83B-41A2-9C27-64E18E8842EF}" uniqueName="3" name="Опрошено (чел)" queryTableFieldId="3"/>
    <tableColumn id="4" xr3:uid="{77C65CD3-ADC6-4F2E-BDA0-6306D6D78615}" uniqueName="4" name="Всего: % плохо" queryTableFieldId="4"/>
    <tableColumn id="5" xr3:uid="{097C9604-BE57-4A7E-BA03-099FD22D2E93}" uniqueName="5" name="Всего: % средне" queryTableFieldId="5"/>
    <tableColumn id="6" xr3:uid="{433446FB-99EB-46F8-A65B-157E85A32CDF}" uniqueName="6" name="Всего: % хорошо" queryTableFieldId="6"/>
    <tableColumn id="7" xr3:uid="{2DD4221A-27FD-4D96-A0F3-D1952E9C71AC}" uniqueName="7" name="Город: % хорошо" queryTableFieldId="7"/>
    <tableColumn id="8" xr3:uid="{3324C86E-1200-445B-B49C-9862784B549B}" uniqueName="8" name="Село: % хорошо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2E97AE-53EC-4DE6-9376-3625EDB8B9D1}" name="quality_of_life_global_report" displayName="quality_of_life_global_report" ref="A1:H102" totalsRowShown="0">
  <autoFilter ref="A1:H102" xr:uid="{192E97AE-53EC-4DE6-9376-3625EDB8B9D1}"/>
  <tableColumns count="8">
    <tableColumn id="1" xr3:uid="{292BAF6C-D8D8-4486-BC44-81088FD02BF3}" name="Year"/>
    <tableColumn id="2" xr3:uid="{D0049D7A-A9EB-4B25-8A24-73540FF89DE8}" name="Indicator" dataDxfId="8"/>
    <tableColumn id="3" xr3:uid="{23B6333F-9E71-4379-8A40-1DEAD0EFF833}" name="Sample_Size"/>
    <tableColumn id="4" xr3:uid="{23EAFF08-30E4-446E-8E1B-D78BFA15B676}" name="Low_Pct"/>
    <tableColumn id="5" xr3:uid="{1AD84CEB-AE7F-41C6-9F40-FDCD117FF13D}" name="Medium_Pct"/>
    <tableColumn id="6" xr3:uid="{E3EBEB61-60E1-4B5A-A877-3254292203B0}" name="High_Pct"/>
    <tableColumn id="7" xr3:uid="{A9D89409-E324-4F41-824F-C4E0F1518B25}" name="Urban_High_Pct"/>
    <tableColumn id="8" xr3:uid="{E5AADE91-C394-4F16-B6FA-C99EF0FEB7F9}" name="Rural_High_Pc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46CD29-0888-4798-8956-1CFB40C99D7F}" name="rezultat_po_ballam" displayName="rezultat_po_ballam" ref="A1:P472" tableType="queryTable" totalsRowShown="0">
  <autoFilter ref="A1:P472" xr:uid="{B646CD29-0888-4798-8956-1CFB40C99D7F}"/>
  <tableColumns count="16">
    <tableColumn id="1" xr3:uid="{B25409CE-01C8-48C1-9224-59B8B7A0699C}" uniqueName="1" name="Год" queryTableFieldId="1"/>
    <tableColumn id="2" xr3:uid="{867E1C01-FAD1-4266-B67F-4A27B0442557}" uniqueName="2" name="Вопрос" queryTableFieldId="2" dataDxfId="7"/>
    <tableColumn id="3" xr3:uid="{F25940BD-731A-4A92-AA04-A7E3530EFC01}" uniqueName="3" name="Местность" queryTableFieldId="3" dataDxfId="6"/>
    <tableColumn id="4" xr3:uid="{9514E1CE-AE6F-4BEE-AC0E-681C6B8B2D36}" uniqueName="4" name="Опрошено (баллы 1-10)" queryTableFieldId="4"/>
    <tableColumn id="5" xr3:uid="{486983B6-F99E-41CE-A791-FB8BEC3ECCAD}" uniqueName="5" name="% балл 1" queryTableFieldId="5"/>
    <tableColumn id="6" xr3:uid="{3948F9B1-2F16-4E65-A391-DA41A4070C0E}" uniqueName="6" name="% балл 2" queryTableFieldId="6"/>
    <tableColumn id="7" xr3:uid="{64408674-954B-4C7E-BF91-1F3B8774459E}" uniqueName="7" name="% балл 3" queryTableFieldId="7"/>
    <tableColumn id="8" xr3:uid="{9CB80165-5D33-4199-8930-2F06F9A6658D}" uniqueName="8" name="% балл 4" queryTableFieldId="8"/>
    <tableColumn id="9" xr3:uid="{8EAA7B51-8A34-4028-A66A-73BAB3A00A4E}" uniqueName="9" name="% балл 5" queryTableFieldId="9"/>
    <tableColumn id="10" xr3:uid="{F22DAD8C-C1C9-4356-9798-0DB4B0875B7A}" uniqueName="10" name="% балл 6" queryTableFieldId="10"/>
    <tableColumn id="11" xr3:uid="{717D0FD6-4640-4212-88A0-1AFFDC03014E}" uniqueName="11" name="% балл 7" queryTableFieldId="11"/>
    <tableColumn id="12" xr3:uid="{2D9C0F8B-A9A7-4802-87DD-D61BFD41F969}" uniqueName="12" name="% балл 8" queryTableFieldId="12"/>
    <tableColumn id="13" xr3:uid="{F16EA303-35F0-43B3-A198-560B2199F46F}" uniqueName="13" name="% балл 9" queryTableFieldId="13"/>
    <tableColumn id="14" xr3:uid="{D9CA995C-E627-48CB-A086-B90C765BDF96}" uniqueName="14" name="% балл 10" queryTableFieldId="14"/>
    <tableColumn id="15" xr3:uid="{7926A941-7EAA-4E83-80C7-A843A7D88DC3}" uniqueName="15" name="Доля ответов 89 от всех, %" queryTableFieldId="15"/>
    <tableColumn id="16" xr3:uid="{F897D12E-DFD9-43CB-B983-9E11ACC5B5C3}" uniqueName="16" name="Средневзвешенный балл" queryTableFieldId="16" dataDxfId="5">
      <calculatedColumnFormula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8A92F-0EC8-4794-874A-F3B01FAF6EFE}" name="demography_structure_report" displayName="demography_structure_report" ref="A1:F241" tableType="queryTable" totalsRowShown="0">
  <autoFilter ref="A1:F241" xr:uid="{8978A92F-0EC8-4794-874A-F3B01FAF6EFE}"/>
  <tableColumns count="6">
    <tableColumn id="1" xr3:uid="{EB479F20-4784-456E-993E-3EABF8919F6D}" uniqueName="1" name="Year" queryTableFieldId="1"/>
    <tableColumn id="2" xr3:uid="{2FD2BE2F-B7C5-4EFC-B1A8-25A834E5F906}" uniqueName="2" name="Region" queryTableFieldId="2" dataDxfId="4"/>
    <tableColumn id="7" xr3:uid="{380992C9-BD11-42AF-A679-202734BB072A}" uniqueName="7" name="Category" queryTableFieldId="7"/>
    <tableColumn id="4" xr3:uid="{B6ACE66A-BF98-41BD-B603-3F5249CB56F3}" uniqueName="4" name="Answer" queryTableFieldId="4" dataDxfId="3"/>
    <tableColumn id="5" xr3:uid="{56D04289-C3EC-4224-9A00-6E74E67D0D2C}" uniqueName="5" name="Count" queryTableFieldId="5"/>
    <tableColumn id="6" xr3:uid="{56DCD40C-38F8-4BD6-87E2-B4C5F143D8A4}" uniqueName="6" name="Percentage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1BB335-7DAE-48E5-9612-2667638366A6}" name="housing_and_assets_official_report" displayName="housing_and_assets_official_report" ref="A1:I9" tableType="queryTable" totalsRowShown="0">
  <autoFilter ref="A1:I9" xr:uid="{261BB335-7DAE-48E5-9612-2667638366A6}"/>
  <tableColumns count="9">
    <tableColumn id="1" xr3:uid="{81A0D542-9A25-46A2-BC97-0638C03B548F}" uniqueName="1" name="Year" queryTableFieldId="1" dataDxfId="2"/>
    <tableColumn id="2" xr3:uid="{1A5E9983-B342-4024-ACC9-F6F8BF915A22}" uniqueName="2" name="Region" queryTableFieldId="2" dataDxfId="1"/>
    <tableColumn id="3" xr3:uid="{F90AC6CE-29F8-4322-9521-8E57C6B408A1}" uniqueName="3" name="Families_Count" queryTableFieldId="3" dataDxfId="0"/>
    <tableColumn id="4" xr3:uid="{DA83776C-0A1C-4272-87D9-6470A84F1E4C}" uniqueName="4" name="Avg_Area_SqM" queryTableFieldId="4"/>
    <tableColumn id="5" xr3:uid="{CB01A19E-CA11-468A-9816-9EB727A033E1}" uniqueName="5" name="Avg_Rooms" queryTableFieldId="5"/>
    <tableColumn id="6" xr3:uid="{7B022751-B363-4CA1-B2CD-21301663BE0B}" uniqueName="6" name="Central_Heating_Pct" queryTableFieldId="6"/>
    <tableColumn id="7" xr3:uid="{0F0BF068-7D52-4554-B527-EE4890573DED}" uniqueName="7" name="Indoor_Water_Pct" queryTableFieldId="7"/>
    <tableColumn id="8" xr3:uid="{F828F73A-9E93-4E4F-9BE0-791A719100B0}" uniqueName="8" name="Fixed_Internet_Pct" queryTableFieldId="8"/>
    <tableColumn id="9" xr3:uid="{17AA455C-8EBD-471D-A21C-32DCAAAC7C6F}" uniqueName="9" name="Cars_per_100_Familie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4D326-F880-4DA5-B176-BBCE8445317F}">
  <sheetPr>
    <tabColor theme="8" tint="0.39997558519241921"/>
  </sheetPr>
  <dimension ref="A1:K9"/>
  <sheetViews>
    <sheetView workbookViewId="0">
      <selection activeCell="E22" sqref="E22"/>
    </sheetView>
  </sheetViews>
  <sheetFormatPr defaultRowHeight="14.4" x14ac:dyDescent="0.3"/>
  <cols>
    <col min="1" max="1" width="6.88671875" bestFit="1" customWidth="1"/>
    <col min="2" max="2" width="8.77734375" bestFit="1" customWidth="1"/>
    <col min="3" max="3" width="16.21875" bestFit="1" customWidth="1"/>
    <col min="4" max="4" width="8.5546875" bestFit="1" customWidth="1"/>
    <col min="5" max="5" width="12.33203125" bestFit="1" customWidth="1"/>
    <col min="6" max="6" width="8" bestFit="1" customWidth="1"/>
    <col min="7" max="7" width="11.5546875" bestFit="1" customWidth="1"/>
    <col min="8" max="8" width="8.77734375" bestFit="1" customWidth="1"/>
    <col min="9" max="9" width="13.77734375" bestFit="1" customWidth="1"/>
    <col min="10" max="10" width="11.109375" bestFit="1" customWidth="1"/>
    <col min="11" max="11" width="18" bestFit="1" customWidth="1"/>
  </cols>
  <sheetData>
    <row r="1" spans="1:11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 x14ac:dyDescent="0.3">
      <c r="A2">
        <v>2021</v>
      </c>
      <c r="B2" t="s">
        <v>24</v>
      </c>
      <c r="C2">
        <v>5298</v>
      </c>
      <c r="D2">
        <v>157370</v>
      </c>
      <c r="E2">
        <v>37688</v>
      </c>
      <c r="F2">
        <v>20837</v>
      </c>
      <c r="G2">
        <v>18803</v>
      </c>
      <c r="H2">
        <v>16914</v>
      </c>
      <c r="I2">
        <v>43206</v>
      </c>
      <c r="J2">
        <v>14582</v>
      </c>
      <c r="K2">
        <v>309400</v>
      </c>
    </row>
    <row r="3" spans="1:11" x14ac:dyDescent="0.3">
      <c r="A3">
        <v>2021</v>
      </c>
      <c r="B3" t="s">
        <v>25</v>
      </c>
      <c r="C3">
        <v>6652</v>
      </c>
      <c r="D3">
        <v>167347</v>
      </c>
      <c r="E3">
        <v>43916</v>
      </c>
      <c r="F3">
        <v>25192</v>
      </c>
      <c r="G3">
        <v>28556</v>
      </c>
      <c r="H3">
        <v>25976</v>
      </c>
      <c r="I3">
        <v>48266</v>
      </c>
      <c r="J3">
        <v>18614</v>
      </c>
      <c r="K3">
        <v>357867</v>
      </c>
    </row>
    <row r="4" spans="1:11" x14ac:dyDescent="0.3">
      <c r="A4">
        <v>2022</v>
      </c>
      <c r="B4" t="s">
        <v>24</v>
      </c>
      <c r="C4">
        <v>5551</v>
      </c>
      <c r="D4">
        <v>197809</v>
      </c>
      <c r="E4">
        <v>42284</v>
      </c>
      <c r="F4">
        <v>25367</v>
      </c>
      <c r="G4">
        <v>28475</v>
      </c>
      <c r="H4">
        <v>22804</v>
      </c>
      <c r="I4">
        <v>52537</v>
      </c>
      <c r="J4">
        <v>18537</v>
      </c>
      <c r="K4">
        <v>387813</v>
      </c>
    </row>
    <row r="5" spans="1:11" x14ac:dyDescent="0.3">
      <c r="A5">
        <v>2022</v>
      </c>
      <c r="B5" t="s">
        <v>25</v>
      </c>
      <c r="C5">
        <v>6388</v>
      </c>
      <c r="D5">
        <v>196656</v>
      </c>
      <c r="E5">
        <v>46674</v>
      </c>
      <c r="F5">
        <v>27125</v>
      </c>
      <c r="G5">
        <v>38498</v>
      </c>
      <c r="H5">
        <v>29498</v>
      </c>
      <c r="I5">
        <v>62400</v>
      </c>
      <c r="J5">
        <v>22602</v>
      </c>
      <c r="K5">
        <v>423452</v>
      </c>
    </row>
    <row r="6" spans="1:11" x14ac:dyDescent="0.3">
      <c r="A6">
        <v>2023</v>
      </c>
      <c r="B6" t="s">
        <v>24</v>
      </c>
      <c r="C6">
        <v>5424</v>
      </c>
      <c r="D6">
        <v>226601</v>
      </c>
      <c r="E6">
        <v>46838</v>
      </c>
      <c r="F6">
        <v>29799</v>
      </c>
      <c r="G6">
        <v>33765</v>
      </c>
      <c r="H6">
        <v>29764</v>
      </c>
      <c r="I6">
        <v>64016</v>
      </c>
      <c r="J6">
        <v>23072</v>
      </c>
      <c r="K6">
        <v>453854</v>
      </c>
    </row>
    <row r="7" spans="1:11" x14ac:dyDescent="0.3">
      <c r="A7">
        <v>2023</v>
      </c>
      <c r="B7" t="s">
        <v>25</v>
      </c>
      <c r="C7">
        <v>6553</v>
      </c>
      <c r="D7">
        <v>212876</v>
      </c>
      <c r="E7">
        <v>51093</v>
      </c>
      <c r="F7">
        <v>29828</v>
      </c>
      <c r="G7">
        <v>45233</v>
      </c>
      <c r="H7">
        <v>33116</v>
      </c>
      <c r="I7">
        <v>75394</v>
      </c>
      <c r="J7">
        <v>24169</v>
      </c>
      <c r="K7">
        <v>471709</v>
      </c>
    </row>
    <row r="8" spans="1:11" x14ac:dyDescent="0.3">
      <c r="A8">
        <v>2024</v>
      </c>
      <c r="B8" t="s">
        <v>24</v>
      </c>
      <c r="C8">
        <v>5395</v>
      </c>
      <c r="D8">
        <v>230579</v>
      </c>
      <c r="E8">
        <v>49909</v>
      </c>
      <c r="F8">
        <v>33117</v>
      </c>
      <c r="G8">
        <v>34188</v>
      </c>
      <c r="H8">
        <v>27831</v>
      </c>
      <c r="I8">
        <v>69129</v>
      </c>
      <c r="J8">
        <v>23395</v>
      </c>
      <c r="K8">
        <v>468149</v>
      </c>
    </row>
    <row r="9" spans="1:11" x14ac:dyDescent="0.3">
      <c r="A9">
        <v>2024</v>
      </c>
      <c r="B9" t="s">
        <v>25</v>
      </c>
      <c r="C9">
        <v>6565</v>
      </c>
      <c r="D9">
        <v>207437</v>
      </c>
      <c r="E9">
        <v>57530</v>
      </c>
      <c r="F9">
        <v>33662</v>
      </c>
      <c r="G9">
        <v>47033</v>
      </c>
      <c r="H9">
        <v>35464</v>
      </c>
      <c r="I9">
        <v>79643</v>
      </c>
      <c r="J9">
        <v>25628</v>
      </c>
      <c r="K9">
        <v>486397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9466-177C-4570-9B87-749CEF0FABCC}">
  <sheetPr>
    <tabColor rgb="FF92D050"/>
  </sheetPr>
  <dimension ref="A1:H158"/>
  <sheetViews>
    <sheetView workbookViewId="0">
      <selection activeCell="E21" sqref="E21"/>
    </sheetView>
  </sheetViews>
  <sheetFormatPr defaultRowHeight="14.4" x14ac:dyDescent="0.3"/>
  <cols>
    <col min="1" max="1" width="6.21875" bestFit="1" customWidth="1"/>
    <col min="2" max="2" width="46.21875" bestFit="1" customWidth="1"/>
    <col min="3" max="3" width="17.21875" bestFit="1" customWidth="1"/>
    <col min="4" max="4" width="15.88671875" bestFit="1" customWidth="1"/>
    <col min="5" max="5" width="17.21875" bestFit="1" customWidth="1"/>
    <col min="6" max="6" width="17.44140625" bestFit="1" customWidth="1"/>
    <col min="7" max="7" width="17.77734375" bestFit="1" customWidth="1"/>
    <col min="8" max="8" width="16.88671875" bestFit="1" customWidth="1"/>
  </cols>
  <sheetData>
    <row r="1" spans="1:8" x14ac:dyDescent="0.3">
      <c r="A1" t="s">
        <v>132</v>
      </c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x14ac:dyDescent="0.3">
      <c r="A2">
        <v>2021</v>
      </c>
      <c r="B2" t="s">
        <v>118</v>
      </c>
      <c r="C2">
        <v>11927</v>
      </c>
      <c r="D2">
        <v>0.4</v>
      </c>
      <c r="E2">
        <v>37.700000000000003</v>
      </c>
      <c r="F2">
        <v>61.9</v>
      </c>
      <c r="G2">
        <v>57.7</v>
      </c>
      <c r="H2">
        <v>67.099999999999994</v>
      </c>
    </row>
    <row r="3" spans="1:8" x14ac:dyDescent="0.3">
      <c r="A3">
        <v>2021</v>
      </c>
      <c r="B3" t="s">
        <v>126</v>
      </c>
      <c r="C3">
        <v>11928</v>
      </c>
      <c r="D3">
        <v>1.2</v>
      </c>
      <c r="E3">
        <v>43.2</v>
      </c>
      <c r="F3">
        <v>55.5</v>
      </c>
      <c r="G3">
        <v>51.6</v>
      </c>
      <c r="H3">
        <v>60.5</v>
      </c>
    </row>
    <row r="4" spans="1:8" x14ac:dyDescent="0.3">
      <c r="A4">
        <v>2021</v>
      </c>
      <c r="B4" t="s">
        <v>127</v>
      </c>
      <c r="C4">
        <v>11920</v>
      </c>
      <c r="D4">
        <v>3.5</v>
      </c>
      <c r="E4">
        <v>46.8</v>
      </c>
      <c r="F4">
        <v>49.7</v>
      </c>
      <c r="G4">
        <v>46.8</v>
      </c>
      <c r="H4">
        <v>53.3</v>
      </c>
    </row>
    <row r="5" spans="1:8" x14ac:dyDescent="0.3">
      <c r="A5">
        <v>2021</v>
      </c>
      <c r="B5" t="s">
        <v>128</v>
      </c>
      <c r="C5">
        <v>11629</v>
      </c>
      <c r="D5">
        <v>0.5</v>
      </c>
      <c r="E5">
        <v>58.7</v>
      </c>
      <c r="F5">
        <v>40.799999999999997</v>
      </c>
      <c r="G5">
        <v>37.299999999999997</v>
      </c>
      <c r="H5">
        <v>45.1</v>
      </c>
    </row>
    <row r="6" spans="1:8" x14ac:dyDescent="0.3">
      <c r="A6">
        <v>2021</v>
      </c>
      <c r="B6" t="s">
        <v>140</v>
      </c>
      <c r="C6">
        <v>10257</v>
      </c>
      <c r="D6">
        <v>1.3</v>
      </c>
      <c r="E6">
        <v>35.4</v>
      </c>
      <c r="F6">
        <v>63.3</v>
      </c>
      <c r="G6">
        <v>60.8</v>
      </c>
      <c r="H6">
        <v>66.3</v>
      </c>
    </row>
    <row r="7" spans="1:8" x14ac:dyDescent="0.3">
      <c r="A7">
        <v>2021</v>
      </c>
      <c r="B7" t="s">
        <v>129</v>
      </c>
      <c r="C7">
        <v>11683</v>
      </c>
      <c r="D7">
        <v>1.3</v>
      </c>
      <c r="E7">
        <v>53.5</v>
      </c>
      <c r="F7">
        <v>45.2</v>
      </c>
      <c r="G7">
        <v>42.7</v>
      </c>
      <c r="H7">
        <v>48.4</v>
      </c>
    </row>
    <row r="8" spans="1:8" x14ac:dyDescent="0.3">
      <c r="A8">
        <v>2021</v>
      </c>
      <c r="B8" t="s">
        <v>141</v>
      </c>
      <c r="C8">
        <v>11847</v>
      </c>
      <c r="D8">
        <v>0.6</v>
      </c>
      <c r="E8">
        <v>28.7</v>
      </c>
      <c r="F8">
        <v>70.7</v>
      </c>
      <c r="G8">
        <v>67.2</v>
      </c>
      <c r="H8">
        <v>75.099999999999994</v>
      </c>
    </row>
    <row r="9" spans="1:8" x14ac:dyDescent="0.3">
      <c r="A9">
        <v>2021</v>
      </c>
      <c r="B9" t="s">
        <v>142</v>
      </c>
      <c r="C9">
        <v>11205</v>
      </c>
      <c r="D9">
        <v>6.4</v>
      </c>
      <c r="E9">
        <v>50.5</v>
      </c>
      <c r="F9">
        <v>43.1</v>
      </c>
      <c r="G9">
        <v>38.6</v>
      </c>
      <c r="H9">
        <v>48.8</v>
      </c>
    </row>
    <row r="10" spans="1:8" x14ac:dyDescent="0.3">
      <c r="A10">
        <v>2021</v>
      </c>
      <c r="B10" t="s">
        <v>143</v>
      </c>
      <c r="C10">
        <v>11248</v>
      </c>
      <c r="D10">
        <v>7.7</v>
      </c>
      <c r="E10">
        <v>53.8</v>
      </c>
      <c r="F10">
        <v>38.5</v>
      </c>
      <c r="G10">
        <v>34.6</v>
      </c>
      <c r="H10">
        <v>43.4</v>
      </c>
    </row>
    <row r="11" spans="1:8" x14ac:dyDescent="0.3">
      <c r="A11">
        <v>2021</v>
      </c>
      <c r="B11" t="s">
        <v>144</v>
      </c>
      <c r="C11">
        <v>11149</v>
      </c>
      <c r="D11">
        <v>6.8</v>
      </c>
      <c r="E11">
        <v>49.4</v>
      </c>
      <c r="F11">
        <v>43.7</v>
      </c>
      <c r="G11">
        <v>39.799999999999997</v>
      </c>
      <c r="H11">
        <v>48.7</v>
      </c>
    </row>
    <row r="12" spans="1:8" x14ac:dyDescent="0.3">
      <c r="A12">
        <v>2021</v>
      </c>
      <c r="B12" t="s">
        <v>145</v>
      </c>
      <c r="C12">
        <v>11168</v>
      </c>
      <c r="D12">
        <v>8.5</v>
      </c>
      <c r="E12">
        <v>53.8</v>
      </c>
      <c r="F12">
        <v>37.700000000000003</v>
      </c>
      <c r="G12">
        <v>34.1</v>
      </c>
      <c r="H12">
        <v>42.2</v>
      </c>
    </row>
    <row r="13" spans="1:8" x14ac:dyDescent="0.3">
      <c r="A13">
        <v>2021</v>
      </c>
      <c r="B13" t="s">
        <v>146</v>
      </c>
      <c r="C13">
        <v>10718</v>
      </c>
      <c r="D13">
        <v>7.6</v>
      </c>
      <c r="E13">
        <v>49.5</v>
      </c>
      <c r="F13">
        <v>42.9</v>
      </c>
      <c r="G13">
        <v>39.5</v>
      </c>
      <c r="H13">
        <v>47.1</v>
      </c>
    </row>
    <row r="14" spans="1:8" x14ac:dyDescent="0.3">
      <c r="A14">
        <v>2021</v>
      </c>
      <c r="B14" t="s">
        <v>147</v>
      </c>
      <c r="C14">
        <v>10905</v>
      </c>
      <c r="D14">
        <v>4.5999999999999996</v>
      </c>
      <c r="E14">
        <v>42.4</v>
      </c>
      <c r="F14">
        <v>53</v>
      </c>
      <c r="G14">
        <v>50.6</v>
      </c>
      <c r="H14">
        <v>56</v>
      </c>
    </row>
    <row r="15" spans="1:8" x14ac:dyDescent="0.3">
      <c r="A15">
        <v>2021</v>
      </c>
      <c r="B15" t="s">
        <v>130</v>
      </c>
      <c r="C15">
        <v>11840</v>
      </c>
      <c r="D15">
        <v>2.6</v>
      </c>
      <c r="E15">
        <v>44.1</v>
      </c>
      <c r="F15">
        <v>53.3</v>
      </c>
      <c r="G15">
        <v>48.8</v>
      </c>
      <c r="H15">
        <v>59.1</v>
      </c>
    </row>
    <row r="16" spans="1:8" x14ac:dyDescent="0.3">
      <c r="A16">
        <v>2021</v>
      </c>
      <c r="B16" t="s">
        <v>119</v>
      </c>
      <c r="C16">
        <v>11888</v>
      </c>
      <c r="D16">
        <v>3</v>
      </c>
      <c r="E16">
        <v>44.9</v>
      </c>
      <c r="F16">
        <v>52.1</v>
      </c>
      <c r="G16">
        <v>45.2</v>
      </c>
      <c r="H16">
        <v>60.8</v>
      </c>
    </row>
    <row r="17" spans="1:8" x14ac:dyDescent="0.3">
      <c r="A17">
        <v>2021</v>
      </c>
      <c r="B17" t="s">
        <v>120</v>
      </c>
      <c r="C17">
        <v>11916</v>
      </c>
      <c r="D17">
        <v>6</v>
      </c>
      <c r="E17">
        <v>46.2</v>
      </c>
      <c r="F17">
        <v>47.8</v>
      </c>
      <c r="G17">
        <v>35.700000000000003</v>
      </c>
      <c r="H17">
        <v>63.2</v>
      </c>
    </row>
    <row r="18" spans="1:8" x14ac:dyDescent="0.3">
      <c r="A18">
        <v>2021</v>
      </c>
      <c r="B18" t="s">
        <v>121</v>
      </c>
      <c r="C18">
        <v>11918</v>
      </c>
      <c r="D18">
        <v>8.6</v>
      </c>
      <c r="E18">
        <v>45.3</v>
      </c>
      <c r="F18">
        <v>46.1</v>
      </c>
      <c r="G18">
        <v>35.799999999999997</v>
      </c>
      <c r="H18">
        <v>59.1</v>
      </c>
    </row>
    <row r="19" spans="1:8" x14ac:dyDescent="0.3">
      <c r="A19">
        <v>2021</v>
      </c>
      <c r="B19" t="s">
        <v>122</v>
      </c>
      <c r="C19">
        <v>11896</v>
      </c>
      <c r="D19">
        <v>3.3</v>
      </c>
      <c r="E19">
        <v>41.6</v>
      </c>
      <c r="F19">
        <v>55.1</v>
      </c>
      <c r="G19">
        <v>46.1</v>
      </c>
      <c r="H19">
        <v>66.599999999999994</v>
      </c>
    </row>
    <row r="20" spans="1:8" x14ac:dyDescent="0.3">
      <c r="A20">
        <v>2021</v>
      </c>
      <c r="B20" t="s">
        <v>123</v>
      </c>
      <c r="C20">
        <v>10133</v>
      </c>
      <c r="D20">
        <v>23.4</v>
      </c>
      <c r="E20">
        <v>51.8</v>
      </c>
      <c r="F20">
        <v>24.8</v>
      </c>
      <c r="G20">
        <v>20.8</v>
      </c>
      <c r="H20">
        <v>29.7</v>
      </c>
    </row>
    <row r="21" spans="1:8" x14ac:dyDescent="0.3">
      <c r="A21">
        <v>2021</v>
      </c>
      <c r="B21" t="s">
        <v>148</v>
      </c>
      <c r="C21">
        <v>10179</v>
      </c>
      <c r="D21">
        <v>28.4</v>
      </c>
      <c r="E21">
        <v>39</v>
      </c>
      <c r="F21">
        <v>32.6</v>
      </c>
      <c r="G21">
        <v>29.2</v>
      </c>
      <c r="H21">
        <v>36.799999999999997</v>
      </c>
    </row>
    <row r="22" spans="1:8" x14ac:dyDescent="0.3">
      <c r="A22">
        <v>2021</v>
      </c>
      <c r="B22" t="s">
        <v>131</v>
      </c>
      <c r="C22">
        <v>11879</v>
      </c>
      <c r="D22">
        <v>2.2000000000000002</v>
      </c>
      <c r="E22">
        <v>45.6</v>
      </c>
      <c r="F22">
        <v>52.2</v>
      </c>
      <c r="G22">
        <v>47.9</v>
      </c>
      <c r="H22">
        <v>57.7</v>
      </c>
    </row>
    <row r="23" spans="1:8" x14ac:dyDescent="0.3">
      <c r="A23">
        <v>2021</v>
      </c>
      <c r="B23" t="s">
        <v>149</v>
      </c>
      <c r="C23">
        <v>11605</v>
      </c>
      <c r="D23">
        <v>8.9</v>
      </c>
      <c r="E23">
        <v>56.6</v>
      </c>
      <c r="F23">
        <v>34.5</v>
      </c>
      <c r="G23">
        <v>30.5</v>
      </c>
      <c r="H23">
        <v>39.5</v>
      </c>
    </row>
    <row r="24" spans="1:8" x14ac:dyDescent="0.3">
      <c r="A24">
        <v>2021</v>
      </c>
      <c r="B24" t="s">
        <v>150</v>
      </c>
      <c r="C24">
        <v>11641</v>
      </c>
      <c r="D24">
        <v>8.5</v>
      </c>
      <c r="E24">
        <v>57.2</v>
      </c>
      <c r="F24">
        <v>34.200000000000003</v>
      </c>
      <c r="G24">
        <v>30.6</v>
      </c>
      <c r="H24">
        <v>38.9</v>
      </c>
    </row>
    <row r="25" spans="1:8" x14ac:dyDescent="0.3">
      <c r="A25">
        <v>2021</v>
      </c>
      <c r="B25" t="s">
        <v>151</v>
      </c>
      <c r="C25">
        <v>11660</v>
      </c>
      <c r="D25">
        <v>6.1</v>
      </c>
      <c r="E25">
        <v>51.3</v>
      </c>
      <c r="F25">
        <v>42.6</v>
      </c>
      <c r="G25">
        <v>38.6</v>
      </c>
      <c r="H25">
        <v>47.6</v>
      </c>
    </row>
    <row r="26" spans="1:8" x14ac:dyDescent="0.3">
      <c r="A26">
        <v>2021</v>
      </c>
      <c r="B26" t="s">
        <v>152</v>
      </c>
      <c r="C26">
        <v>11410</v>
      </c>
      <c r="D26">
        <v>16</v>
      </c>
      <c r="E26">
        <v>56</v>
      </c>
      <c r="F26">
        <v>27.9</v>
      </c>
      <c r="G26">
        <v>25</v>
      </c>
      <c r="H26">
        <v>31.7</v>
      </c>
    </row>
    <row r="27" spans="1:8" x14ac:dyDescent="0.3">
      <c r="A27">
        <v>2021</v>
      </c>
      <c r="B27" t="s">
        <v>153</v>
      </c>
      <c r="C27">
        <v>11350</v>
      </c>
      <c r="D27">
        <v>4.2</v>
      </c>
      <c r="E27">
        <v>50.6</v>
      </c>
      <c r="F27">
        <v>45.1</v>
      </c>
      <c r="G27">
        <v>41.8</v>
      </c>
      <c r="H27">
        <v>49.4</v>
      </c>
    </row>
    <row r="28" spans="1:8" x14ac:dyDescent="0.3">
      <c r="A28">
        <v>2021</v>
      </c>
      <c r="B28" t="s">
        <v>154</v>
      </c>
      <c r="C28">
        <v>11397</v>
      </c>
      <c r="D28">
        <v>4.9000000000000004</v>
      </c>
      <c r="E28">
        <v>48.9</v>
      </c>
      <c r="F28">
        <v>46.3</v>
      </c>
      <c r="G28">
        <v>43.4</v>
      </c>
      <c r="H28">
        <v>49.9</v>
      </c>
    </row>
    <row r="29" spans="1:8" x14ac:dyDescent="0.3">
      <c r="A29">
        <v>2021</v>
      </c>
      <c r="B29" t="s">
        <v>155</v>
      </c>
      <c r="C29">
        <v>9912</v>
      </c>
      <c r="D29">
        <v>2.5</v>
      </c>
      <c r="E29">
        <v>37.299999999999997</v>
      </c>
      <c r="F29">
        <v>60.1</v>
      </c>
      <c r="G29">
        <v>55.2</v>
      </c>
      <c r="H29">
        <v>66.3</v>
      </c>
    </row>
    <row r="30" spans="1:8" x14ac:dyDescent="0.3">
      <c r="A30">
        <v>2021</v>
      </c>
      <c r="B30" t="s">
        <v>156</v>
      </c>
      <c r="C30">
        <v>10417</v>
      </c>
      <c r="D30">
        <v>3.3</v>
      </c>
      <c r="E30">
        <v>39.9</v>
      </c>
      <c r="F30">
        <v>56.8</v>
      </c>
      <c r="G30">
        <v>52.4</v>
      </c>
      <c r="H30">
        <v>62.3</v>
      </c>
    </row>
    <row r="31" spans="1:8" x14ac:dyDescent="0.3">
      <c r="A31">
        <v>2021</v>
      </c>
      <c r="B31" t="s">
        <v>157</v>
      </c>
      <c r="C31">
        <v>9682</v>
      </c>
      <c r="D31">
        <v>3</v>
      </c>
      <c r="E31">
        <v>41.3</v>
      </c>
      <c r="F31">
        <v>55.7</v>
      </c>
      <c r="G31">
        <v>51.8</v>
      </c>
      <c r="H31">
        <v>60.5</v>
      </c>
    </row>
    <row r="32" spans="1:8" x14ac:dyDescent="0.3">
      <c r="A32">
        <v>2021</v>
      </c>
      <c r="B32" t="s">
        <v>158</v>
      </c>
      <c r="C32">
        <v>9484</v>
      </c>
      <c r="D32">
        <v>3.1</v>
      </c>
      <c r="E32">
        <v>41.4</v>
      </c>
      <c r="F32">
        <v>55.4</v>
      </c>
      <c r="G32">
        <v>52.3</v>
      </c>
      <c r="H32">
        <v>59.4</v>
      </c>
    </row>
    <row r="33" spans="1:8" x14ac:dyDescent="0.3">
      <c r="A33">
        <v>2021</v>
      </c>
      <c r="B33" t="s">
        <v>159</v>
      </c>
      <c r="C33">
        <v>10249</v>
      </c>
      <c r="D33">
        <v>2.2000000000000002</v>
      </c>
      <c r="E33">
        <v>33.299999999999997</v>
      </c>
      <c r="F33">
        <v>64.599999999999994</v>
      </c>
      <c r="G33">
        <v>60.6</v>
      </c>
      <c r="H33">
        <v>69.400000000000006</v>
      </c>
    </row>
    <row r="34" spans="1:8" x14ac:dyDescent="0.3">
      <c r="A34">
        <v>2021</v>
      </c>
      <c r="B34" t="s">
        <v>160</v>
      </c>
      <c r="C34">
        <v>10781</v>
      </c>
      <c r="D34">
        <v>1.1000000000000001</v>
      </c>
      <c r="E34">
        <v>26.9</v>
      </c>
      <c r="F34">
        <v>71.900000000000006</v>
      </c>
      <c r="G34">
        <v>68.5</v>
      </c>
      <c r="H34">
        <v>76.2</v>
      </c>
    </row>
    <row r="35" spans="1:8" x14ac:dyDescent="0.3">
      <c r="A35">
        <v>2021</v>
      </c>
      <c r="B35" t="s">
        <v>161</v>
      </c>
      <c r="C35">
        <v>9963</v>
      </c>
      <c r="D35">
        <v>1.6</v>
      </c>
      <c r="E35">
        <v>36.5</v>
      </c>
      <c r="F35">
        <v>61.9</v>
      </c>
      <c r="G35">
        <v>59</v>
      </c>
      <c r="H35">
        <v>65.599999999999994</v>
      </c>
    </row>
    <row r="36" spans="1:8" x14ac:dyDescent="0.3">
      <c r="A36">
        <v>2021</v>
      </c>
      <c r="B36" t="s">
        <v>162</v>
      </c>
      <c r="C36">
        <v>9757</v>
      </c>
      <c r="D36">
        <v>3.5</v>
      </c>
      <c r="E36">
        <v>43.5</v>
      </c>
      <c r="F36">
        <v>53</v>
      </c>
      <c r="G36">
        <v>50.6</v>
      </c>
      <c r="H36">
        <v>56</v>
      </c>
    </row>
    <row r="37" spans="1:8" x14ac:dyDescent="0.3">
      <c r="A37">
        <v>2021</v>
      </c>
      <c r="B37" t="s">
        <v>163</v>
      </c>
      <c r="C37">
        <v>10418</v>
      </c>
      <c r="D37">
        <v>3.3</v>
      </c>
      <c r="E37">
        <v>44</v>
      </c>
      <c r="F37">
        <v>52.7</v>
      </c>
      <c r="G37">
        <v>49</v>
      </c>
      <c r="H37">
        <v>57.3</v>
      </c>
    </row>
    <row r="38" spans="1:8" x14ac:dyDescent="0.3">
      <c r="A38">
        <v>2021</v>
      </c>
      <c r="B38" t="s">
        <v>164</v>
      </c>
      <c r="C38">
        <v>10657</v>
      </c>
      <c r="D38">
        <v>3</v>
      </c>
      <c r="E38">
        <v>46.7</v>
      </c>
      <c r="F38">
        <v>50.4</v>
      </c>
      <c r="G38">
        <v>47</v>
      </c>
      <c r="H38">
        <v>54.6</v>
      </c>
    </row>
    <row r="39" spans="1:8" x14ac:dyDescent="0.3">
      <c r="A39">
        <v>2021</v>
      </c>
      <c r="B39" t="s">
        <v>124</v>
      </c>
      <c r="C39">
        <v>10825</v>
      </c>
      <c r="D39">
        <v>3.5</v>
      </c>
      <c r="E39">
        <v>46.8</v>
      </c>
      <c r="F39">
        <v>49.7</v>
      </c>
      <c r="G39">
        <v>46.5</v>
      </c>
      <c r="H39">
        <v>53.7</v>
      </c>
    </row>
    <row r="40" spans="1:8" x14ac:dyDescent="0.3">
      <c r="A40">
        <v>2021</v>
      </c>
      <c r="B40" t="s">
        <v>125</v>
      </c>
      <c r="C40">
        <v>11441</v>
      </c>
      <c r="D40">
        <v>2.6</v>
      </c>
      <c r="E40">
        <v>41.4</v>
      </c>
      <c r="F40">
        <v>56.1</v>
      </c>
      <c r="G40">
        <v>53.2</v>
      </c>
      <c r="H40">
        <v>59.7</v>
      </c>
    </row>
    <row r="41" spans="1:8" x14ac:dyDescent="0.3">
      <c r="A41">
        <v>2021</v>
      </c>
      <c r="B41" t="s">
        <v>165</v>
      </c>
      <c r="C41">
        <v>10325</v>
      </c>
      <c r="D41">
        <v>1.6</v>
      </c>
      <c r="E41">
        <v>39.5</v>
      </c>
      <c r="F41">
        <v>58.9</v>
      </c>
      <c r="G41">
        <v>55.9</v>
      </c>
      <c r="H41">
        <v>62.5</v>
      </c>
    </row>
    <row r="42" spans="1:8" x14ac:dyDescent="0.3">
      <c r="A42">
        <v>2021</v>
      </c>
      <c r="B42" t="s">
        <v>166</v>
      </c>
      <c r="C42">
        <v>9876</v>
      </c>
      <c r="D42">
        <v>1.9</v>
      </c>
      <c r="E42">
        <v>46.3</v>
      </c>
      <c r="F42">
        <v>51.8</v>
      </c>
      <c r="G42">
        <v>48.5</v>
      </c>
      <c r="H42">
        <v>55.9</v>
      </c>
    </row>
    <row r="43" spans="1:8" x14ac:dyDescent="0.3">
      <c r="A43">
        <v>2021</v>
      </c>
      <c r="B43" t="s">
        <v>167</v>
      </c>
      <c r="C43">
        <v>10883</v>
      </c>
      <c r="D43">
        <v>8.9</v>
      </c>
      <c r="E43">
        <v>55.6</v>
      </c>
      <c r="F43">
        <v>35.5</v>
      </c>
      <c r="G43">
        <v>32.4</v>
      </c>
      <c r="H43">
        <v>39.6</v>
      </c>
    </row>
    <row r="44" spans="1:8" x14ac:dyDescent="0.3">
      <c r="A44">
        <v>2021</v>
      </c>
      <c r="B44" t="s">
        <v>168</v>
      </c>
      <c r="C44">
        <v>10897</v>
      </c>
      <c r="D44">
        <v>4.3</v>
      </c>
      <c r="E44">
        <v>48</v>
      </c>
      <c r="F44">
        <v>47.7</v>
      </c>
      <c r="G44">
        <v>44.6</v>
      </c>
      <c r="H44">
        <v>51.8</v>
      </c>
    </row>
    <row r="45" spans="1:8" x14ac:dyDescent="0.3">
      <c r="A45">
        <v>2021</v>
      </c>
      <c r="B45" t="s">
        <v>169</v>
      </c>
      <c r="C45">
        <v>10875</v>
      </c>
      <c r="D45">
        <v>3.7</v>
      </c>
      <c r="E45">
        <v>45.5</v>
      </c>
      <c r="F45">
        <v>50.8</v>
      </c>
      <c r="G45">
        <v>48.1</v>
      </c>
      <c r="H45">
        <v>54.2</v>
      </c>
    </row>
    <row r="46" spans="1:8" x14ac:dyDescent="0.3">
      <c r="A46">
        <v>2021</v>
      </c>
      <c r="B46" t="s">
        <v>170</v>
      </c>
      <c r="C46">
        <v>11451</v>
      </c>
      <c r="D46">
        <v>2.8</v>
      </c>
      <c r="E46">
        <v>31.5</v>
      </c>
      <c r="F46">
        <v>65.7</v>
      </c>
      <c r="G46">
        <v>63.1</v>
      </c>
      <c r="H46">
        <v>69</v>
      </c>
    </row>
    <row r="47" spans="1:8" x14ac:dyDescent="0.3">
      <c r="A47">
        <v>2022</v>
      </c>
      <c r="B47" t="s">
        <v>118</v>
      </c>
      <c r="C47">
        <v>11893</v>
      </c>
      <c r="D47">
        <v>0.2</v>
      </c>
      <c r="E47">
        <v>57.7</v>
      </c>
      <c r="F47">
        <v>42.1</v>
      </c>
      <c r="G47">
        <v>42.2</v>
      </c>
      <c r="H47">
        <v>41.9</v>
      </c>
    </row>
    <row r="48" spans="1:8" x14ac:dyDescent="0.3">
      <c r="A48">
        <v>2022</v>
      </c>
      <c r="B48" t="s">
        <v>126</v>
      </c>
      <c r="C48">
        <v>11896</v>
      </c>
      <c r="D48">
        <v>0.5</v>
      </c>
      <c r="E48">
        <v>47</v>
      </c>
      <c r="F48">
        <v>52.5</v>
      </c>
      <c r="G48">
        <v>50.7</v>
      </c>
      <c r="H48">
        <v>54.6</v>
      </c>
    </row>
    <row r="49" spans="1:8" x14ac:dyDescent="0.3">
      <c r="A49">
        <v>2022</v>
      </c>
      <c r="B49" t="s">
        <v>127</v>
      </c>
      <c r="C49">
        <v>11913</v>
      </c>
      <c r="D49">
        <v>3.1</v>
      </c>
      <c r="E49">
        <v>47.7</v>
      </c>
      <c r="F49">
        <v>49.2</v>
      </c>
      <c r="G49">
        <v>47.1</v>
      </c>
      <c r="H49">
        <v>51.6</v>
      </c>
    </row>
    <row r="50" spans="1:8" x14ac:dyDescent="0.3">
      <c r="A50">
        <v>2022</v>
      </c>
      <c r="B50" t="s">
        <v>128</v>
      </c>
      <c r="C50">
        <v>11504</v>
      </c>
      <c r="D50">
        <v>0.4</v>
      </c>
      <c r="E50">
        <v>66.099999999999994</v>
      </c>
      <c r="F50">
        <v>33.4</v>
      </c>
      <c r="G50">
        <v>32.4</v>
      </c>
      <c r="H50">
        <v>34.700000000000003</v>
      </c>
    </row>
    <row r="51" spans="1:8" x14ac:dyDescent="0.3">
      <c r="A51">
        <v>2022</v>
      </c>
      <c r="B51" t="s">
        <v>171</v>
      </c>
      <c r="C51">
        <v>9740</v>
      </c>
      <c r="D51">
        <v>1.2</v>
      </c>
      <c r="E51">
        <v>33.700000000000003</v>
      </c>
      <c r="F51">
        <v>65.099999999999994</v>
      </c>
      <c r="G51">
        <v>63.7</v>
      </c>
      <c r="H51">
        <v>66.5</v>
      </c>
    </row>
    <row r="52" spans="1:8" x14ac:dyDescent="0.3">
      <c r="A52">
        <v>2022</v>
      </c>
      <c r="B52" t="s">
        <v>172</v>
      </c>
      <c r="C52">
        <v>11892</v>
      </c>
      <c r="D52">
        <v>0.4</v>
      </c>
      <c r="E52">
        <v>16.3</v>
      </c>
      <c r="F52">
        <v>83.3</v>
      </c>
      <c r="G52">
        <v>81.599999999999994</v>
      </c>
      <c r="H52">
        <v>85.3</v>
      </c>
    </row>
    <row r="53" spans="1:8" x14ac:dyDescent="0.3">
      <c r="A53">
        <v>2022</v>
      </c>
      <c r="B53" t="s">
        <v>173</v>
      </c>
      <c r="C53">
        <v>11753</v>
      </c>
      <c r="D53">
        <v>0.7</v>
      </c>
      <c r="E53">
        <v>19.5</v>
      </c>
      <c r="F53">
        <v>79.8</v>
      </c>
      <c r="G53">
        <v>77.8</v>
      </c>
      <c r="H53">
        <v>82.1</v>
      </c>
    </row>
    <row r="54" spans="1:8" x14ac:dyDescent="0.3">
      <c r="A54">
        <v>2022</v>
      </c>
      <c r="B54" t="s">
        <v>174</v>
      </c>
      <c r="C54">
        <v>9475</v>
      </c>
      <c r="D54">
        <v>1.1000000000000001</v>
      </c>
      <c r="E54">
        <v>22.7</v>
      </c>
      <c r="F54">
        <v>76.2</v>
      </c>
      <c r="G54">
        <v>74.3</v>
      </c>
      <c r="H54">
        <v>78.400000000000006</v>
      </c>
    </row>
    <row r="55" spans="1:8" x14ac:dyDescent="0.3">
      <c r="A55">
        <v>2022</v>
      </c>
      <c r="B55" t="s">
        <v>175</v>
      </c>
      <c r="C55">
        <v>11720</v>
      </c>
      <c r="D55">
        <v>0.3</v>
      </c>
      <c r="E55">
        <v>64.3</v>
      </c>
      <c r="F55">
        <v>35.4</v>
      </c>
      <c r="G55">
        <v>34.5</v>
      </c>
      <c r="H55">
        <v>36.4</v>
      </c>
    </row>
    <row r="56" spans="1:8" x14ac:dyDescent="0.3">
      <c r="A56">
        <v>2022</v>
      </c>
      <c r="B56" t="s">
        <v>176</v>
      </c>
      <c r="C56">
        <v>11835</v>
      </c>
      <c r="D56">
        <v>0.5</v>
      </c>
      <c r="E56">
        <v>26.7</v>
      </c>
      <c r="F56">
        <v>72.8</v>
      </c>
      <c r="G56">
        <v>71.599999999999994</v>
      </c>
      <c r="H56">
        <v>74.2</v>
      </c>
    </row>
    <row r="57" spans="1:8" x14ac:dyDescent="0.3">
      <c r="A57">
        <v>2022</v>
      </c>
      <c r="B57" t="s">
        <v>130</v>
      </c>
      <c r="C57">
        <v>11895</v>
      </c>
      <c r="D57">
        <v>1.9</v>
      </c>
      <c r="E57">
        <v>39.5</v>
      </c>
      <c r="F57">
        <v>58.6</v>
      </c>
      <c r="G57">
        <v>55.5</v>
      </c>
      <c r="H57">
        <v>62.2</v>
      </c>
    </row>
    <row r="58" spans="1:8" x14ac:dyDescent="0.3">
      <c r="A58">
        <v>2022</v>
      </c>
      <c r="B58" t="s">
        <v>119</v>
      </c>
      <c r="C58">
        <v>11859</v>
      </c>
      <c r="D58">
        <v>2.2999999999999998</v>
      </c>
      <c r="E58">
        <v>44.2</v>
      </c>
      <c r="F58">
        <v>53.5</v>
      </c>
      <c r="G58">
        <v>46.9</v>
      </c>
      <c r="H58">
        <v>61.2</v>
      </c>
    </row>
    <row r="59" spans="1:8" x14ac:dyDescent="0.3">
      <c r="A59">
        <v>2022</v>
      </c>
      <c r="B59" t="s">
        <v>120</v>
      </c>
      <c r="C59">
        <v>11852</v>
      </c>
      <c r="D59">
        <v>5.3</v>
      </c>
      <c r="E59">
        <v>46.5</v>
      </c>
      <c r="F59">
        <v>48.1</v>
      </c>
      <c r="G59">
        <v>37.200000000000003</v>
      </c>
      <c r="H59">
        <v>60.8</v>
      </c>
    </row>
    <row r="60" spans="1:8" x14ac:dyDescent="0.3">
      <c r="A60">
        <v>2022</v>
      </c>
      <c r="B60" t="s">
        <v>121</v>
      </c>
      <c r="C60">
        <v>11862</v>
      </c>
      <c r="D60">
        <v>8.9</v>
      </c>
      <c r="E60">
        <v>43.4</v>
      </c>
      <c r="F60">
        <v>47.7</v>
      </c>
      <c r="G60">
        <v>37.9</v>
      </c>
      <c r="H60">
        <v>59</v>
      </c>
    </row>
    <row r="61" spans="1:8" x14ac:dyDescent="0.3">
      <c r="A61">
        <v>2022</v>
      </c>
      <c r="B61" t="s">
        <v>122</v>
      </c>
      <c r="C61">
        <v>11838</v>
      </c>
      <c r="D61">
        <v>3</v>
      </c>
      <c r="E61">
        <v>42.6</v>
      </c>
      <c r="F61">
        <v>54.3</v>
      </c>
      <c r="G61">
        <v>45.3</v>
      </c>
      <c r="H61">
        <v>64.8</v>
      </c>
    </row>
    <row r="62" spans="1:8" x14ac:dyDescent="0.3">
      <c r="A62">
        <v>2022</v>
      </c>
      <c r="B62" t="s">
        <v>123</v>
      </c>
      <c r="C62">
        <v>9886</v>
      </c>
      <c r="D62">
        <v>23.9</v>
      </c>
      <c r="E62">
        <v>49.5</v>
      </c>
      <c r="F62">
        <v>26.5</v>
      </c>
      <c r="G62">
        <v>24.4</v>
      </c>
      <c r="H62">
        <v>28.9</v>
      </c>
    </row>
    <row r="63" spans="1:8" x14ac:dyDescent="0.3">
      <c r="A63">
        <v>2022</v>
      </c>
      <c r="B63" t="s">
        <v>177</v>
      </c>
      <c r="C63">
        <v>10029</v>
      </c>
      <c r="D63">
        <v>27.7</v>
      </c>
      <c r="E63">
        <v>42.3</v>
      </c>
      <c r="F63">
        <v>30</v>
      </c>
      <c r="G63">
        <v>28.2</v>
      </c>
      <c r="H63">
        <v>31.9</v>
      </c>
    </row>
    <row r="64" spans="1:8" x14ac:dyDescent="0.3">
      <c r="A64">
        <v>2022</v>
      </c>
      <c r="B64" t="s">
        <v>131</v>
      </c>
      <c r="C64">
        <v>11816</v>
      </c>
      <c r="D64">
        <v>2.7</v>
      </c>
      <c r="E64">
        <v>43.2</v>
      </c>
      <c r="F64">
        <v>54</v>
      </c>
      <c r="G64">
        <v>52.2</v>
      </c>
      <c r="H64">
        <v>56.2</v>
      </c>
    </row>
    <row r="65" spans="1:8" x14ac:dyDescent="0.3">
      <c r="A65">
        <v>2022</v>
      </c>
      <c r="B65" t="s">
        <v>178</v>
      </c>
      <c r="C65">
        <v>11507</v>
      </c>
      <c r="D65">
        <v>5.8</v>
      </c>
      <c r="E65">
        <v>54.5</v>
      </c>
      <c r="F65">
        <v>39.700000000000003</v>
      </c>
      <c r="G65">
        <v>36.799999999999997</v>
      </c>
      <c r="H65">
        <v>43</v>
      </c>
    </row>
    <row r="66" spans="1:8" x14ac:dyDescent="0.3">
      <c r="A66">
        <v>2022</v>
      </c>
      <c r="B66" t="s">
        <v>179</v>
      </c>
      <c r="C66">
        <v>11157</v>
      </c>
      <c r="D66">
        <v>2.5</v>
      </c>
      <c r="E66">
        <v>44.8</v>
      </c>
      <c r="F66">
        <v>52.7</v>
      </c>
      <c r="G66">
        <v>49.1</v>
      </c>
      <c r="H66">
        <v>56.8</v>
      </c>
    </row>
    <row r="67" spans="1:8" x14ac:dyDescent="0.3">
      <c r="A67">
        <v>2022</v>
      </c>
      <c r="B67" t="s">
        <v>180</v>
      </c>
      <c r="C67">
        <v>11613</v>
      </c>
      <c r="D67">
        <v>4.5999999999999996</v>
      </c>
      <c r="E67">
        <v>48.3</v>
      </c>
      <c r="F67">
        <v>47.1</v>
      </c>
      <c r="G67">
        <v>44.3</v>
      </c>
      <c r="H67">
        <v>50.3</v>
      </c>
    </row>
    <row r="68" spans="1:8" x14ac:dyDescent="0.3">
      <c r="A68">
        <v>2022</v>
      </c>
      <c r="B68" t="s">
        <v>181</v>
      </c>
      <c r="C68">
        <v>11303</v>
      </c>
      <c r="D68">
        <v>3.9</v>
      </c>
      <c r="E68">
        <v>48.6</v>
      </c>
      <c r="F68">
        <v>47.6</v>
      </c>
      <c r="G68">
        <v>45.3</v>
      </c>
      <c r="H68">
        <v>50.2</v>
      </c>
    </row>
    <row r="69" spans="1:8" x14ac:dyDescent="0.3">
      <c r="A69">
        <v>2022</v>
      </c>
      <c r="B69" t="s">
        <v>155</v>
      </c>
      <c r="C69">
        <v>10010</v>
      </c>
      <c r="D69">
        <v>1.6</v>
      </c>
      <c r="E69">
        <v>34.9</v>
      </c>
      <c r="F69">
        <v>63.5</v>
      </c>
      <c r="G69">
        <v>59.6</v>
      </c>
      <c r="H69">
        <v>68</v>
      </c>
    </row>
    <row r="70" spans="1:8" x14ac:dyDescent="0.3">
      <c r="A70">
        <v>2022</v>
      </c>
      <c r="B70" t="s">
        <v>156</v>
      </c>
      <c r="C70">
        <v>10539</v>
      </c>
      <c r="D70">
        <v>1.8</v>
      </c>
      <c r="E70">
        <v>36.200000000000003</v>
      </c>
      <c r="F70">
        <v>62</v>
      </c>
      <c r="G70">
        <v>58.6</v>
      </c>
      <c r="H70">
        <v>65.8</v>
      </c>
    </row>
    <row r="71" spans="1:8" x14ac:dyDescent="0.3">
      <c r="A71">
        <v>2022</v>
      </c>
      <c r="B71" t="s">
        <v>157</v>
      </c>
      <c r="C71">
        <v>9780</v>
      </c>
      <c r="D71">
        <v>1.8</v>
      </c>
      <c r="E71">
        <v>39.6</v>
      </c>
      <c r="F71">
        <v>58.6</v>
      </c>
      <c r="G71">
        <v>54.4</v>
      </c>
      <c r="H71">
        <v>63.3</v>
      </c>
    </row>
    <row r="72" spans="1:8" x14ac:dyDescent="0.3">
      <c r="A72">
        <v>2022</v>
      </c>
      <c r="B72" t="s">
        <v>158</v>
      </c>
      <c r="C72">
        <v>9600</v>
      </c>
      <c r="D72">
        <v>2</v>
      </c>
      <c r="E72">
        <v>41.2</v>
      </c>
      <c r="F72">
        <v>56.9</v>
      </c>
      <c r="G72">
        <v>53.3</v>
      </c>
      <c r="H72">
        <v>60.9</v>
      </c>
    </row>
    <row r="73" spans="1:8" x14ac:dyDescent="0.3">
      <c r="A73">
        <v>2022</v>
      </c>
      <c r="B73" t="s">
        <v>159</v>
      </c>
      <c r="C73">
        <v>10403</v>
      </c>
      <c r="D73">
        <v>1.9</v>
      </c>
      <c r="E73">
        <v>31.7</v>
      </c>
      <c r="F73">
        <v>66.400000000000006</v>
      </c>
      <c r="G73">
        <v>63.3</v>
      </c>
      <c r="H73">
        <v>70</v>
      </c>
    </row>
    <row r="74" spans="1:8" x14ac:dyDescent="0.3">
      <c r="A74">
        <v>2022</v>
      </c>
      <c r="B74" t="s">
        <v>160</v>
      </c>
      <c r="C74">
        <v>10862</v>
      </c>
      <c r="D74">
        <v>0.8</v>
      </c>
      <c r="E74">
        <v>25.6</v>
      </c>
      <c r="F74">
        <v>73.599999999999994</v>
      </c>
      <c r="G74">
        <v>70.7</v>
      </c>
      <c r="H74">
        <v>76.900000000000006</v>
      </c>
    </row>
    <row r="75" spans="1:8" x14ac:dyDescent="0.3">
      <c r="A75">
        <v>2022</v>
      </c>
      <c r="B75" t="s">
        <v>161</v>
      </c>
      <c r="C75">
        <v>10129</v>
      </c>
      <c r="D75">
        <v>1.1000000000000001</v>
      </c>
      <c r="E75">
        <v>36.5</v>
      </c>
      <c r="F75">
        <v>62.4</v>
      </c>
      <c r="G75">
        <v>58.6</v>
      </c>
      <c r="H75">
        <v>66.8</v>
      </c>
    </row>
    <row r="76" spans="1:8" x14ac:dyDescent="0.3">
      <c r="A76">
        <v>2022</v>
      </c>
      <c r="B76" t="s">
        <v>162</v>
      </c>
      <c r="C76">
        <v>9977</v>
      </c>
      <c r="D76">
        <v>3.3</v>
      </c>
      <c r="E76">
        <v>43.2</v>
      </c>
      <c r="F76">
        <v>53.5</v>
      </c>
      <c r="G76">
        <v>50</v>
      </c>
      <c r="H76">
        <v>57.4</v>
      </c>
    </row>
    <row r="77" spans="1:8" x14ac:dyDescent="0.3">
      <c r="A77">
        <v>2022</v>
      </c>
      <c r="B77" t="s">
        <v>163</v>
      </c>
      <c r="C77">
        <v>10632</v>
      </c>
      <c r="D77">
        <v>2.2000000000000002</v>
      </c>
      <c r="E77">
        <v>42.8</v>
      </c>
      <c r="F77">
        <v>55</v>
      </c>
      <c r="G77">
        <v>52.2</v>
      </c>
      <c r="H77">
        <v>58.1</v>
      </c>
    </row>
    <row r="78" spans="1:8" x14ac:dyDescent="0.3">
      <c r="A78">
        <v>2022</v>
      </c>
      <c r="B78" t="s">
        <v>164</v>
      </c>
      <c r="C78">
        <v>10733</v>
      </c>
      <c r="D78">
        <v>2.6</v>
      </c>
      <c r="E78">
        <v>43.5</v>
      </c>
      <c r="F78">
        <v>53.9</v>
      </c>
      <c r="G78">
        <v>51.3</v>
      </c>
      <c r="H78">
        <v>56.9</v>
      </c>
    </row>
    <row r="79" spans="1:8" x14ac:dyDescent="0.3">
      <c r="A79">
        <v>2022</v>
      </c>
      <c r="B79" t="s">
        <v>124</v>
      </c>
      <c r="C79">
        <v>10732</v>
      </c>
      <c r="D79">
        <v>3.6</v>
      </c>
      <c r="E79">
        <v>42.6</v>
      </c>
      <c r="F79">
        <v>53.8</v>
      </c>
      <c r="G79">
        <v>51.3</v>
      </c>
      <c r="H79">
        <v>56.8</v>
      </c>
    </row>
    <row r="80" spans="1:8" x14ac:dyDescent="0.3">
      <c r="A80">
        <v>2022</v>
      </c>
      <c r="B80" t="s">
        <v>125</v>
      </c>
      <c r="C80">
        <v>11381</v>
      </c>
      <c r="D80">
        <v>2</v>
      </c>
      <c r="E80">
        <v>37.6</v>
      </c>
      <c r="F80">
        <v>60.4</v>
      </c>
      <c r="G80">
        <v>59.2</v>
      </c>
      <c r="H80">
        <v>61.8</v>
      </c>
    </row>
    <row r="81" spans="1:8" x14ac:dyDescent="0.3">
      <c r="A81">
        <v>2022</v>
      </c>
      <c r="B81" t="s">
        <v>165</v>
      </c>
      <c r="C81">
        <v>10185</v>
      </c>
      <c r="D81">
        <v>1.1000000000000001</v>
      </c>
      <c r="E81">
        <v>36.700000000000003</v>
      </c>
      <c r="F81">
        <v>62.2</v>
      </c>
      <c r="G81">
        <v>60.5</v>
      </c>
      <c r="H81">
        <v>64.2</v>
      </c>
    </row>
    <row r="82" spans="1:8" x14ac:dyDescent="0.3">
      <c r="A82">
        <v>2022</v>
      </c>
      <c r="B82" t="s">
        <v>166</v>
      </c>
      <c r="C82">
        <v>9826</v>
      </c>
      <c r="D82">
        <v>1.5</v>
      </c>
      <c r="E82">
        <v>42.9</v>
      </c>
      <c r="F82">
        <v>55.6</v>
      </c>
      <c r="G82">
        <v>52.7</v>
      </c>
      <c r="H82">
        <v>58.9</v>
      </c>
    </row>
    <row r="83" spans="1:8" x14ac:dyDescent="0.3">
      <c r="A83">
        <v>2022</v>
      </c>
      <c r="B83" t="s">
        <v>167</v>
      </c>
      <c r="C83">
        <v>10942</v>
      </c>
      <c r="D83">
        <v>11.2</v>
      </c>
      <c r="E83">
        <v>51.9</v>
      </c>
      <c r="F83">
        <v>36.9</v>
      </c>
      <c r="G83">
        <v>34.9</v>
      </c>
      <c r="H83">
        <v>39.200000000000003</v>
      </c>
    </row>
    <row r="84" spans="1:8" x14ac:dyDescent="0.3">
      <c r="A84">
        <v>2022</v>
      </c>
      <c r="B84" t="s">
        <v>168</v>
      </c>
      <c r="C84">
        <v>10936</v>
      </c>
      <c r="D84">
        <v>5.9</v>
      </c>
      <c r="E84">
        <v>46</v>
      </c>
      <c r="F84">
        <v>48.1</v>
      </c>
      <c r="G84">
        <v>45.5</v>
      </c>
      <c r="H84">
        <v>51.2</v>
      </c>
    </row>
    <row r="85" spans="1:8" x14ac:dyDescent="0.3">
      <c r="A85">
        <v>2022</v>
      </c>
      <c r="B85" t="s">
        <v>169</v>
      </c>
      <c r="C85">
        <v>10846</v>
      </c>
      <c r="D85">
        <v>5.0999999999999996</v>
      </c>
      <c r="E85">
        <v>42.2</v>
      </c>
      <c r="F85">
        <v>52.7</v>
      </c>
      <c r="G85">
        <v>50.3</v>
      </c>
      <c r="H85">
        <v>55.6</v>
      </c>
    </row>
    <row r="86" spans="1:8" x14ac:dyDescent="0.3">
      <c r="A86">
        <v>2022</v>
      </c>
      <c r="B86" t="s">
        <v>170</v>
      </c>
      <c r="C86">
        <v>11488</v>
      </c>
      <c r="D86">
        <v>1.6</v>
      </c>
      <c r="E86">
        <v>30.8</v>
      </c>
      <c r="F86">
        <v>67.599999999999994</v>
      </c>
      <c r="G86">
        <v>65.3</v>
      </c>
      <c r="H86">
        <v>70.2</v>
      </c>
    </row>
    <row r="87" spans="1:8" x14ac:dyDescent="0.3">
      <c r="A87">
        <v>2023</v>
      </c>
      <c r="B87" t="s">
        <v>118</v>
      </c>
      <c r="C87">
        <v>11932</v>
      </c>
      <c r="D87">
        <v>0.4</v>
      </c>
      <c r="E87">
        <v>55.3</v>
      </c>
      <c r="F87">
        <v>44.2</v>
      </c>
      <c r="G87">
        <v>43.3</v>
      </c>
      <c r="H87">
        <v>45.4</v>
      </c>
    </row>
    <row r="88" spans="1:8" x14ac:dyDescent="0.3">
      <c r="A88">
        <v>2023</v>
      </c>
      <c r="B88" t="s">
        <v>126</v>
      </c>
      <c r="C88">
        <v>11924</v>
      </c>
      <c r="D88">
        <v>0.5</v>
      </c>
      <c r="E88">
        <v>44.7</v>
      </c>
      <c r="F88">
        <v>54.8</v>
      </c>
      <c r="G88">
        <v>53.6</v>
      </c>
      <c r="H88">
        <v>56.2</v>
      </c>
    </row>
    <row r="89" spans="1:8" x14ac:dyDescent="0.3">
      <c r="A89">
        <v>2023</v>
      </c>
      <c r="B89" t="s">
        <v>127</v>
      </c>
      <c r="C89">
        <v>11937</v>
      </c>
      <c r="D89">
        <v>2.8</v>
      </c>
      <c r="E89">
        <v>47.2</v>
      </c>
      <c r="F89">
        <v>49.9</v>
      </c>
      <c r="G89">
        <v>48.7</v>
      </c>
      <c r="H89">
        <v>51.4</v>
      </c>
    </row>
    <row r="90" spans="1:8" x14ac:dyDescent="0.3">
      <c r="A90">
        <v>2023</v>
      </c>
      <c r="B90" t="s">
        <v>128</v>
      </c>
      <c r="C90">
        <v>11653</v>
      </c>
      <c r="D90">
        <v>0.4</v>
      </c>
      <c r="E90">
        <v>62.1</v>
      </c>
      <c r="F90">
        <v>37.5</v>
      </c>
      <c r="G90">
        <v>36.1</v>
      </c>
      <c r="H90">
        <v>39.299999999999997</v>
      </c>
    </row>
    <row r="91" spans="1:8" x14ac:dyDescent="0.3">
      <c r="A91">
        <v>2023</v>
      </c>
      <c r="B91" t="s">
        <v>171</v>
      </c>
      <c r="C91">
        <v>9760</v>
      </c>
      <c r="D91">
        <v>1.6</v>
      </c>
      <c r="E91">
        <v>37.299999999999997</v>
      </c>
      <c r="F91">
        <v>61</v>
      </c>
      <c r="G91">
        <v>60.1</v>
      </c>
      <c r="H91">
        <v>62.2</v>
      </c>
    </row>
    <row r="92" spans="1:8" x14ac:dyDescent="0.3">
      <c r="A92">
        <v>2023</v>
      </c>
      <c r="B92" t="s">
        <v>172</v>
      </c>
      <c r="C92">
        <v>11934</v>
      </c>
      <c r="D92">
        <v>0.5</v>
      </c>
      <c r="E92">
        <v>17.8</v>
      </c>
      <c r="F92">
        <v>81.7</v>
      </c>
      <c r="G92">
        <v>81.599999999999994</v>
      </c>
      <c r="H92">
        <v>81.8</v>
      </c>
    </row>
    <row r="93" spans="1:8" x14ac:dyDescent="0.3">
      <c r="A93">
        <v>2023</v>
      </c>
      <c r="B93" t="s">
        <v>173</v>
      </c>
      <c r="C93">
        <v>11735</v>
      </c>
      <c r="D93">
        <v>0.6</v>
      </c>
      <c r="E93">
        <v>21.5</v>
      </c>
      <c r="F93">
        <v>77.900000000000006</v>
      </c>
      <c r="G93">
        <v>77.2</v>
      </c>
      <c r="H93">
        <v>78.8</v>
      </c>
    </row>
    <row r="94" spans="1:8" x14ac:dyDescent="0.3">
      <c r="A94">
        <v>2023</v>
      </c>
      <c r="B94" t="s">
        <v>174</v>
      </c>
      <c r="C94">
        <v>9143</v>
      </c>
      <c r="D94">
        <v>0.9</v>
      </c>
      <c r="E94">
        <v>26.8</v>
      </c>
      <c r="F94">
        <v>72.3</v>
      </c>
      <c r="G94">
        <v>71.599999999999994</v>
      </c>
      <c r="H94">
        <v>73.3</v>
      </c>
    </row>
    <row r="95" spans="1:8" x14ac:dyDescent="0.3">
      <c r="A95">
        <v>2023</v>
      </c>
      <c r="B95" t="s">
        <v>175</v>
      </c>
      <c r="C95">
        <v>11774</v>
      </c>
      <c r="D95">
        <v>0.4</v>
      </c>
      <c r="E95">
        <v>59.5</v>
      </c>
      <c r="F95">
        <v>40</v>
      </c>
      <c r="G95">
        <v>38.4</v>
      </c>
      <c r="H95">
        <v>42</v>
      </c>
    </row>
    <row r="96" spans="1:8" x14ac:dyDescent="0.3">
      <c r="A96">
        <v>2023</v>
      </c>
      <c r="B96" t="s">
        <v>182</v>
      </c>
      <c r="C96">
        <v>11913</v>
      </c>
      <c r="D96">
        <v>1.5</v>
      </c>
      <c r="E96">
        <v>41.6</v>
      </c>
      <c r="F96">
        <v>56.9</v>
      </c>
      <c r="G96">
        <v>53.8</v>
      </c>
      <c r="H96">
        <v>60.6</v>
      </c>
    </row>
    <row r="97" spans="1:8" x14ac:dyDescent="0.3">
      <c r="A97">
        <v>2023</v>
      </c>
      <c r="B97" t="s">
        <v>183</v>
      </c>
      <c r="C97">
        <v>11916</v>
      </c>
      <c r="D97">
        <v>3</v>
      </c>
      <c r="E97">
        <v>43.8</v>
      </c>
      <c r="F97">
        <v>53.2</v>
      </c>
      <c r="G97">
        <v>47</v>
      </c>
      <c r="H97">
        <v>60.7</v>
      </c>
    </row>
    <row r="98" spans="1:8" x14ac:dyDescent="0.3">
      <c r="A98">
        <v>2023</v>
      </c>
      <c r="B98" t="s">
        <v>184</v>
      </c>
      <c r="C98">
        <v>11909</v>
      </c>
      <c r="D98">
        <v>6.9</v>
      </c>
      <c r="E98">
        <v>44.5</v>
      </c>
      <c r="F98">
        <v>48.6</v>
      </c>
      <c r="G98">
        <v>41.2</v>
      </c>
      <c r="H98">
        <v>57.5</v>
      </c>
    </row>
    <row r="99" spans="1:8" x14ac:dyDescent="0.3">
      <c r="A99">
        <v>2023</v>
      </c>
      <c r="B99" t="s">
        <v>185</v>
      </c>
      <c r="C99">
        <v>11907</v>
      </c>
      <c r="D99">
        <v>9</v>
      </c>
      <c r="E99">
        <v>43.9</v>
      </c>
      <c r="F99">
        <v>47.1</v>
      </c>
      <c r="G99">
        <v>41.1</v>
      </c>
      <c r="H99">
        <v>54.3</v>
      </c>
    </row>
    <row r="100" spans="1:8" x14ac:dyDescent="0.3">
      <c r="A100">
        <v>2023</v>
      </c>
      <c r="B100" t="s">
        <v>186</v>
      </c>
      <c r="C100">
        <v>11880</v>
      </c>
      <c r="D100">
        <v>2.6</v>
      </c>
      <c r="E100">
        <v>42.1</v>
      </c>
      <c r="F100">
        <v>55.3</v>
      </c>
      <c r="G100">
        <v>45.3</v>
      </c>
      <c r="H100">
        <v>67.400000000000006</v>
      </c>
    </row>
    <row r="101" spans="1:8" x14ac:dyDescent="0.3">
      <c r="A101">
        <v>2023</v>
      </c>
      <c r="B101" t="s">
        <v>187</v>
      </c>
      <c r="C101">
        <v>9612</v>
      </c>
      <c r="D101">
        <v>21.2</v>
      </c>
      <c r="E101">
        <v>49.5</v>
      </c>
      <c r="F101">
        <v>29.3</v>
      </c>
      <c r="G101">
        <v>26.3</v>
      </c>
      <c r="H101">
        <v>33</v>
      </c>
    </row>
    <row r="102" spans="1:8" x14ac:dyDescent="0.3">
      <c r="A102">
        <v>2023</v>
      </c>
      <c r="B102" t="s">
        <v>188</v>
      </c>
      <c r="C102">
        <v>9711</v>
      </c>
      <c r="D102">
        <v>22.9</v>
      </c>
      <c r="E102">
        <v>44.3</v>
      </c>
      <c r="F102">
        <v>32.700000000000003</v>
      </c>
      <c r="G102">
        <v>30.3</v>
      </c>
      <c r="H102">
        <v>35.6</v>
      </c>
    </row>
    <row r="103" spans="1:8" x14ac:dyDescent="0.3">
      <c r="A103">
        <v>2023</v>
      </c>
      <c r="B103" t="s">
        <v>189</v>
      </c>
      <c r="C103">
        <v>11824</v>
      </c>
      <c r="D103">
        <v>2.6</v>
      </c>
      <c r="E103">
        <v>43.8</v>
      </c>
      <c r="F103">
        <v>53.5</v>
      </c>
      <c r="G103">
        <v>49.8</v>
      </c>
      <c r="H103">
        <v>58</v>
      </c>
    </row>
    <row r="104" spans="1:8" x14ac:dyDescent="0.3">
      <c r="A104">
        <v>2023</v>
      </c>
      <c r="B104" t="s">
        <v>190</v>
      </c>
      <c r="C104">
        <v>11669</v>
      </c>
      <c r="D104">
        <v>5.9</v>
      </c>
      <c r="E104">
        <v>48.1</v>
      </c>
      <c r="F104">
        <v>46</v>
      </c>
      <c r="G104">
        <v>43</v>
      </c>
      <c r="H104">
        <v>49.7</v>
      </c>
    </row>
    <row r="105" spans="1:8" x14ac:dyDescent="0.3">
      <c r="A105">
        <v>2023</v>
      </c>
      <c r="B105" t="s">
        <v>191</v>
      </c>
      <c r="C105">
        <v>11370</v>
      </c>
      <c r="D105">
        <v>2.2999999999999998</v>
      </c>
      <c r="E105">
        <v>40.799999999999997</v>
      </c>
      <c r="F105">
        <v>56.9</v>
      </c>
      <c r="G105">
        <v>54.3</v>
      </c>
      <c r="H105">
        <v>60.1</v>
      </c>
    </row>
    <row r="106" spans="1:8" x14ac:dyDescent="0.3">
      <c r="A106">
        <v>2023</v>
      </c>
      <c r="B106" t="s">
        <v>192</v>
      </c>
      <c r="C106">
        <v>11631</v>
      </c>
      <c r="D106">
        <v>5</v>
      </c>
      <c r="E106">
        <v>44.4</v>
      </c>
      <c r="F106">
        <v>50.6</v>
      </c>
      <c r="G106">
        <v>47.3</v>
      </c>
      <c r="H106">
        <v>54.6</v>
      </c>
    </row>
    <row r="107" spans="1:8" x14ac:dyDescent="0.3">
      <c r="A107">
        <v>2023</v>
      </c>
      <c r="B107" t="s">
        <v>193</v>
      </c>
      <c r="C107">
        <v>11382</v>
      </c>
      <c r="D107">
        <v>2.8</v>
      </c>
      <c r="E107">
        <v>44</v>
      </c>
      <c r="F107">
        <v>53.2</v>
      </c>
      <c r="G107">
        <v>49.9</v>
      </c>
      <c r="H107">
        <v>57.3</v>
      </c>
    </row>
    <row r="108" spans="1:8" x14ac:dyDescent="0.3">
      <c r="A108">
        <v>2023</v>
      </c>
      <c r="B108" t="s">
        <v>194</v>
      </c>
      <c r="C108">
        <v>10192</v>
      </c>
      <c r="D108">
        <v>1.1000000000000001</v>
      </c>
      <c r="E108">
        <v>32.1</v>
      </c>
      <c r="F108">
        <v>66.8</v>
      </c>
      <c r="G108">
        <v>63.6</v>
      </c>
      <c r="H108">
        <v>70.7</v>
      </c>
    </row>
    <row r="109" spans="1:8" x14ac:dyDescent="0.3">
      <c r="A109">
        <v>2023</v>
      </c>
      <c r="B109" t="s">
        <v>195</v>
      </c>
      <c r="C109">
        <v>10596</v>
      </c>
      <c r="D109">
        <v>1.3</v>
      </c>
      <c r="E109">
        <v>33.6</v>
      </c>
      <c r="F109">
        <v>65.099999999999994</v>
      </c>
      <c r="G109">
        <v>62.6</v>
      </c>
      <c r="H109">
        <v>68</v>
      </c>
    </row>
    <row r="110" spans="1:8" x14ac:dyDescent="0.3">
      <c r="A110">
        <v>2023</v>
      </c>
      <c r="B110" t="s">
        <v>196</v>
      </c>
      <c r="C110">
        <v>9958</v>
      </c>
      <c r="D110">
        <v>1.4</v>
      </c>
      <c r="E110">
        <v>35.1</v>
      </c>
      <c r="F110">
        <v>63.5</v>
      </c>
      <c r="G110">
        <v>60.8</v>
      </c>
      <c r="H110">
        <v>66.7</v>
      </c>
    </row>
    <row r="111" spans="1:8" x14ac:dyDescent="0.3">
      <c r="A111">
        <v>2023</v>
      </c>
      <c r="B111" t="s">
        <v>197</v>
      </c>
      <c r="C111">
        <v>9756</v>
      </c>
      <c r="D111">
        <v>1.5</v>
      </c>
      <c r="E111">
        <v>36.200000000000003</v>
      </c>
      <c r="F111">
        <v>62.3</v>
      </c>
      <c r="G111">
        <v>60.1</v>
      </c>
      <c r="H111">
        <v>65</v>
      </c>
    </row>
    <row r="112" spans="1:8" x14ac:dyDescent="0.3">
      <c r="A112">
        <v>2023</v>
      </c>
      <c r="B112" t="s">
        <v>198</v>
      </c>
      <c r="C112">
        <v>10355</v>
      </c>
      <c r="D112">
        <v>1.8</v>
      </c>
      <c r="E112">
        <v>30.9</v>
      </c>
      <c r="F112">
        <v>67.3</v>
      </c>
      <c r="G112">
        <v>65.3</v>
      </c>
      <c r="H112">
        <v>69.8</v>
      </c>
    </row>
    <row r="113" spans="1:8" x14ac:dyDescent="0.3">
      <c r="A113">
        <v>2023</v>
      </c>
      <c r="B113" t="s">
        <v>199</v>
      </c>
      <c r="C113">
        <v>10977</v>
      </c>
      <c r="D113">
        <v>0.7</v>
      </c>
      <c r="E113">
        <v>26.2</v>
      </c>
      <c r="F113">
        <v>73.099999999999994</v>
      </c>
      <c r="G113">
        <v>70.900000000000006</v>
      </c>
      <c r="H113">
        <v>75.7</v>
      </c>
    </row>
    <row r="114" spans="1:8" x14ac:dyDescent="0.3">
      <c r="A114">
        <v>2023</v>
      </c>
      <c r="B114" t="s">
        <v>200</v>
      </c>
      <c r="C114">
        <v>10168</v>
      </c>
      <c r="D114">
        <v>1.1000000000000001</v>
      </c>
      <c r="E114">
        <v>35.700000000000003</v>
      </c>
      <c r="F114">
        <v>63.1</v>
      </c>
      <c r="G114">
        <v>60.3</v>
      </c>
      <c r="H114">
        <v>66.5</v>
      </c>
    </row>
    <row r="115" spans="1:8" x14ac:dyDescent="0.3">
      <c r="A115">
        <v>2023</v>
      </c>
      <c r="B115" t="s">
        <v>201</v>
      </c>
      <c r="C115">
        <v>9926</v>
      </c>
      <c r="D115">
        <v>2</v>
      </c>
      <c r="E115">
        <v>42.1</v>
      </c>
      <c r="F115">
        <v>55.9</v>
      </c>
      <c r="G115">
        <v>54</v>
      </c>
      <c r="H115">
        <v>58</v>
      </c>
    </row>
    <row r="116" spans="1:8" x14ac:dyDescent="0.3">
      <c r="A116">
        <v>2023</v>
      </c>
      <c r="B116" t="s">
        <v>202</v>
      </c>
      <c r="C116">
        <v>10761</v>
      </c>
      <c r="D116">
        <v>2</v>
      </c>
      <c r="E116">
        <v>38.700000000000003</v>
      </c>
      <c r="F116">
        <v>59.2</v>
      </c>
      <c r="G116">
        <v>56.3</v>
      </c>
      <c r="H116">
        <v>62.8</v>
      </c>
    </row>
    <row r="117" spans="1:8" x14ac:dyDescent="0.3">
      <c r="A117">
        <v>2023</v>
      </c>
      <c r="B117" t="s">
        <v>203</v>
      </c>
      <c r="C117">
        <v>10781</v>
      </c>
      <c r="D117">
        <v>2.2000000000000002</v>
      </c>
      <c r="E117">
        <v>39.6</v>
      </c>
      <c r="F117">
        <v>58.2</v>
      </c>
      <c r="G117">
        <v>56</v>
      </c>
      <c r="H117">
        <v>60.8</v>
      </c>
    </row>
    <row r="118" spans="1:8" x14ac:dyDescent="0.3">
      <c r="A118">
        <v>2023</v>
      </c>
      <c r="B118" t="s">
        <v>204</v>
      </c>
      <c r="C118">
        <v>10923</v>
      </c>
      <c r="D118">
        <v>2.8</v>
      </c>
      <c r="E118">
        <v>40</v>
      </c>
      <c r="F118">
        <v>57.1</v>
      </c>
      <c r="G118">
        <v>55.1</v>
      </c>
      <c r="H118">
        <v>59.5</v>
      </c>
    </row>
    <row r="119" spans="1:8" x14ac:dyDescent="0.3">
      <c r="A119">
        <v>2023</v>
      </c>
      <c r="B119" t="s">
        <v>205</v>
      </c>
      <c r="C119">
        <v>11494</v>
      </c>
      <c r="D119">
        <v>1.9</v>
      </c>
      <c r="E119">
        <v>35.299999999999997</v>
      </c>
      <c r="F119">
        <v>62.8</v>
      </c>
      <c r="G119">
        <v>61.2</v>
      </c>
      <c r="H119">
        <v>64.8</v>
      </c>
    </row>
    <row r="120" spans="1:8" x14ac:dyDescent="0.3">
      <c r="A120">
        <v>2023</v>
      </c>
      <c r="B120" t="s">
        <v>206</v>
      </c>
      <c r="C120">
        <v>10511</v>
      </c>
      <c r="D120">
        <v>1.1000000000000001</v>
      </c>
      <c r="E120">
        <v>34.1</v>
      </c>
      <c r="F120">
        <v>64.900000000000006</v>
      </c>
      <c r="G120">
        <v>63.8</v>
      </c>
      <c r="H120">
        <v>66.099999999999994</v>
      </c>
    </row>
    <row r="121" spans="1:8" x14ac:dyDescent="0.3">
      <c r="A121">
        <v>2023</v>
      </c>
      <c r="B121" t="s">
        <v>207</v>
      </c>
      <c r="C121">
        <v>9960</v>
      </c>
      <c r="D121">
        <v>1.7</v>
      </c>
      <c r="E121">
        <v>40.299999999999997</v>
      </c>
      <c r="F121">
        <v>57.9</v>
      </c>
      <c r="G121">
        <v>55.6</v>
      </c>
      <c r="H121">
        <v>60.7</v>
      </c>
    </row>
    <row r="122" spans="1:8" x14ac:dyDescent="0.3">
      <c r="A122">
        <v>2023</v>
      </c>
      <c r="B122" t="s">
        <v>208</v>
      </c>
      <c r="C122">
        <v>11556</v>
      </c>
      <c r="D122">
        <v>2</v>
      </c>
      <c r="E122">
        <v>29.4</v>
      </c>
      <c r="F122">
        <v>68.599999999999994</v>
      </c>
      <c r="G122">
        <v>67.599999999999994</v>
      </c>
      <c r="H122">
        <v>69.8</v>
      </c>
    </row>
    <row r="123" spans="1:8" x14ac:dyDescent="0.3">
      <c r="A123">
        <v>2024</v>
      </c>
      <c r="B123" t="s">
        <v>118</v>
      </c>
      <c r="C123">
        <v>11918</v>
      </c>
      <c r="D123">
        <v>0.1</v>
      </c>
      <c r="E123">
        <v>54.4</v>
      </c>
      <c r="F123">
        <v>45.5</v>
      </c>
      <c r="G123">
        <v>41.3</v>
      </c>
      <c r="H123">
        <v>50.6</v>
      </c>
    </row>
    <row r="124" spans="1:8" x14ac:dyDescent="0.3">
      <c r="A124">
        <v>2024</v>
      </c>
      <c r="B124" t="s">
        <v>126</v>
      </c>
      <c r="C124">
        <v>11903</v>
      </c>
      <c r="D124">
        <v>0.2</v>
      </c>
      <c r="E124">
        <v>46.2</v>
      </c>
      <c r="F124">
        <v>53.6</v>
      </c>
      <c r="G124">
        <v>51</v>
      </c>
      <c r="H124">
        <v>56.8</v>
      </c>
    </row>
    <row r="125" spans="1:8" x14ac:dyDescent="0.3">
      <c r="A125">
        <v>2024</v>
      </c>
      <c r="B125" t="s">
        <v>127</v>
      </c>
      <c r="C125">
        <v>11888</v>
      </c>
      <c r="D125">
        <v>2.1</v>
      </c>
      <c r="E125">
        <v>47</v>
      </c>
      <c r="F125">
        <v>50.9</v>
      </c>
      <c r="G125">
        <v>48.2</v>
      </c>
      <c r="H125">
        <v>54.2</v>
      </c>
    </row>
    <row r="126" spans="1:8" x14ac:dyDescent="0.3">
      <c r="A126">
        <v>2024</v>
      </c>
      <c r="B126" t="s">
        <v>128</v>
      </c>
      <c r="C126">
        <v>11626</v>
      </c>
      <c r="D126">
        <v>0.2</v>
      </c>
      <c r="E126">
        <v>63</v>
      </c>
      <c r="F126">
        <v>36.799999999999997</v>
      </c>
      <c r="G126">
        <v>33.1</v>
      </c>
      <c r="H126">
        <v>41.4</v>
      </c>
    </row>
    <row r="127" spans="1:8" x14ac:dyDescent="0.3">
      <c r="A127">
        <v>2024</v>
      </c>
      <c r="B127" t="s">
        <v>171</v>
      </c>
      <c r="C127">
        <v>9804</v>
      </c>
      <c r="D127">
        <v>1.3</v>
      </c>
      <c r="E127">
        <v>35.799999999999997</v>
      </c>
      <c r="F127">
        <v>62.9</v>
      </c>
      <c r="G127">
        <v>60.3</v>
      </c>
      <c r="H127">
        <v>66</v>
      </c>
    </row>
    <row r="128" spans="1:8" x14ac:dyDescent="0.3">
      <c r="A128">
        <v>2024</v>
      </c>
      <c r="B128" t="s">
        <v>172</v>
      </c>
      <c r="C128">
        <v>11890</v>
      </c>
      <c r="D128">
        <v>0.3</v>
      </c>
      <c r="E128">
        <v>16.399999999999999</v>
      </c>
      <c r="F128">
        <v>83.2</v>
      </c>
      <c r="G128">
        <v>81.400000000000006</v>
      </c>
      <c r="H128">
        <v>85.4</v>
      </c>
    </row>
    <row r="129" spans="1:8" x14ac:dyDescent="0.3">
      <c r="A129">
        <v>2024</v>
      </c>
      <c r="B129" t="s">
        <v>173</v>
      </c>
      <c r="C129">
        <v>11718</v>
      </c>
      <c r="D129">
        <v>0.4</v>
      </c>
      <c r="E129">
        <v>21.3</v>
      </c>
      <c r="F129">
        <v>78.3</v>
      </c>
      <c r="G129">
        <v>75.900000000000006</v>
      </c>
      <c r="H129">
        <v>81.3</v>
      </c>
    </row>
    <row r="130" spans="1:8" x14ac:dyDescent="0.3">
      <c r="A130">
        <v>2024</v>
      </c>
      <c r="B130" t="s">
        <v>174</v>
      </c>
      <c r="C130">
        <v>9328</v>
      </c>
      <c r="D130">
        <v>1.2</v>
      </c>
      <c r="E130">
        <v>24.1</v>
      </c>
      <c r="F130">
        <v>74.7</v>
      </c>
      <c r="G130">
        <v>72.2</v>
      </c>
      <c r="H130">
        <v>77.599999999999994</v>
      </c>
    </row>
    <row r="131" spans="1:8" x14ac:dyDescent="0.3">
      <c r="A131">
        <v>2024</v>
      </c>
      <c r="B131" t="s">
        <v>175</v>
      </c>
      <c r="C131">
        <v>11646</v>
      </c>
      <c r="D131">
        <v>0.2</v>
      </c>
      <c r="E131">
        <v>61.4</v>
      </c>
      <c r="F131">
        <v>38.4</v>
      </c>
      <c r="G131">
        <v>35.1</v>
      </c>
      <c r="H131">
        <v>42.5</v>
      </c>
    </row>
    <row r="132" spans="1:8" x14ac:dyDescent="0.3">
      <c r="A132">
        <v>2024</v>
      </c>
      <c r="B132" t="s">
        <v>182</v>
      </c>
      <c r="C132">
        <v>11842</v>
      </c>
      <c r="D132">
        <v>1.3</v>
      </c>
      <c r="E132">
        <v>44</v>
      </c>
      <c r="F132">
        <v>54.7</v>
      </c>
      <c r="G132">
        <v>52.1</v>
      </c>
      <c r="H132">
        <v>57.8</v>
      </c>
    </row>
    <row r="133" spans="1:8" x14ac:dyDescent="0.3">
      <c r="A133">
        <v>2024</v>
      </c>
      <c r="B133" t="s">
        <v>183</v>
      </c>
      <c r="C133">
        <v>11859</v>
      </c>
      <c r="D133">
        <v>2.4</v>
      </c>
      <c r="E133">
        <v>44.8</v>
      </c>
      <c r="F133">
        <v>52.8</v>
      </c>
      <c r="G133">
        <v>48.9</v>
      </c>
      <c r="H133">
        <v>57.6</v>
      </c>
    </row>
    <row r="134" spans="1:8" x14ac:dyDescent="0.3">
      <c r="A134">
        <v>2024</v>
      </c>
      <c r="B134" t="s">
        <v>184</v>
      </c>
      <c r="C134">
        <v>11864</v>
      </c>
      <c r="D134">
        <v>5.2</v>
      </c>
      <c r="E134">
        <v>44.8</v>
      </c>
      <c r="F134">
        <v>50</v>
      </c>
      <c r="G134">
        <v>45.6</v>
      </c>
      <c r="H134">
        <v>55.4</v>
      </c>
    </row>
    <row r="135" spans="1:8" x14ac:dyDescent="0.3">
      <c r="A135">
        <v>2024</v>
      </c>
      <c r="B135" t="s">
        <v>185</v>
      </c>
      <c r="C135">
        <v>11867</v>
      </c>
      <c r="D135">
        <v>6.6</v>
      </c>
      <c r="E135">
        <v>44.8</v>
      </c>
      <c r="F135">
        <v>48.7</v>
      </c>
      <c r="G135">
        <v>45</v>
      </c>
      <c r="H135">
        <v>53.1</v>
      </c>
    </row>
    <row r="136" spans="1:8" x14ac:dyDescent="0.3">
      <c r="A136">
        <v>2024</v>
      </c>
      <c r="B136" t="s">
        <v>186</v>
      </c>
      <c r="C136">
        <v>11824</v>
      </c>
      <c r="D136">
        <v>2.2999999999999998</v>
      </c>
      <c r="E136">
        <v>42.4</v>
      </c>
      <c r="F136">
        <v>55.3</v>
      </c>
      <c r="G136">
        <v>48.8</v>
      </c>
      <c r="H136">
        <v>63.2</v>
      </c>
    </row>
    <row r="137" spans="1:8" x14ac:dyDescent="0.3">
      <c r="A137">
        <v>2024</v>
      </c>
      <c r="B137" t="s">
        <v>187</v>
      </c>
      <c r="C137">
        <v>10153</v>
      </c>
      <c r="D137">
        <v>21.3</v>
      </c>
      <c r="E137">
        <v>47.5</v>
      </c>
      <c r="F137">
        <v>31.2</v>
      </c>
      <c r="G137">
        <v>29.4</v>
      </c>
      <c r="H137">
        <v>33.4</v>
      </c>
    </row>
    <row r="138" spans="1:8" x14ac:dyDescent="0.3">
      <c r="A138">
        <v>2024</v>
      </c>
      <c r="B138" t="s">
        <v>188</v>
      </c>
      <c r="C138">
        <v>10238</v>
      </c>
      <c r="D138">
        <v>26.6</v>
      </c>
      <c r="E138">
        <v>42.7</v>
      </c>
      <c r="F138">
        <v>30.7</v>
      </c>
      <c r="G138">
        <v>28.1</v>
      </c>
      <c r="H138">
        <v>33.799999999999997</v>
      </c>
    </row>
    <row r="139" spans="1:8" x14ac:dyDescent="0.3">
      <c r="A139">
        <v>2024</v>
      </c>
      <c r="B139" t="s">
        <v>189</v>
      </c>
      <c r="C139">
        <v>11727</v>
      </c>
      <c r="D139">
        <v>2.6</v>
      </c>
      <c r="E139">
        <v>44.4</v>
      </c>
      <c r="F139">
        <v>53</v>
      </c>
      <c r="G139">
        <v>49.5</v>
      </c>
      <c r="H139">
        <v>57.3</v>
      </c>
    </row>
    <row r="140" spans="1:8" x14ac:dyDescent="0.3">
      <c r="A140">
        <v>2024</v>
      </c>
      <c r="B140" t="s">
        <v>190</v>
      </c>
      <c r="C140">
        <v>11595</v>
      </c>
      <c r="D140">
        <v>5.3</v>
      </c>
      <c r="E140">
        <v>47.7</v>
      </c>
      <c r="F140">
        <v>46.9</v>
      </c>
      <c r="G140">
        <v>42.8</v>
      </c>
      <c r="H140">
        <v>52</v>
      </c>
    </row>
    <row r="141" spans="1:8" x14ac:dyDescent="0.3">
      <c r="A141">
        <v>2024</v>
      </c>
      <c r="B141" t="s">
        <v>191</v>
      </c>
      <c r="C141">
        <v>11372</v>
      </c>
      <c r="D141">
        <v>1.7</v>
      </c>
      <c r="E141">
        <v>40.1</v>
      </c>
      <c r="F141">
        <v>58.2</v>
      </c>
      <c r="G141">
        <v>55.2</v>
      </c>
      <c r="H141">
        <v>61.9</v>
      </c>
    </row>
    <row r="142" spans="1:8" x14ac:dyDescent="0.3">
      <c r="A142">
        <v>2024</v>
      </c>
      <c r="B142" t="s">
        <v>192</v>
      </c>
      <c r="C142">
        <v>11575</v>
      </c>
      <c r="D142">
        <v>4.5</v>
      </c>
      <c r="E142">
        <v>42.5</v>
      </c>
      <c r="F142">
        <v>52.9</v>
      </c>
      <c r="G142">
        <v>49.1</v>
      </c>
      <c r="H142">
        <v>57.6</v>
      </c>
    </row>
    <row r="143" spans="1:8" x14ac:dyDescent="0.3">
      <c r="A143">
        <v>2024</v>
      </c>
      <c r="B143" t="s">
        <v>193</v>
      </c>
      <c r="C143">
        <v>11415</v>
      </c>
      <c r="D143">
        <v>2.5</v>
      </c>
      <c r="E143">
        <v>40.799999999999997</v>
      </c>
      <c r="F143">
        <v>56.7</v>
      </c>
      <c r="G143">
        <v>54.3</v>
      </c>
      <c r="H143">
        <v>59.7</v>
      </c>
    </row>
    <row r="144" spans="1:8" x14ac:dyDescent="0.3">
      <c r="A144">
        <v>2024</v>
      </c>
      <c r="B144" t="s">
        <v>194</v>
      </c>
      <c r="C144">
        <v>10154</v>
      </c>
      <c r="D144">
        <v>0.5</v>
      </c>
      <c r="E144">
        <v>31</v>
      </c>
      <c r="F144">
        <v>68.5</v>
      </c>
      <c r="G144">
        <v>64.5</v>
      </c>
      <c r="H144">
        <v>73.400000000000006</v>
      </c>
    </row>
    <row r="145" spans="1:8" x14ac:dyDescent="0.3">
      <c r="A145">
        <v>2024</v>
      </c>
      <c r="B145" t="s">
        <v>195</v>
      </c>
      <c r="C145">
        <v>10707</v>
      </c>
      <c r="D145">
        <v>0.6</v>
      </c>
      <c r="E145">
        <v>32.700000000000003</v>
      </c>
      <c r="F145">
        <v>66.8</v>
      </c>
      <c r="G145">
        <v>63.7</v>
      </c>
      <c r="H145">
        <v>70.599999999999994</v>
      </c>
    </row>
    <row r="146" spans="1:8" x14ac:dyDescent="0.3">
      <c r="A146">
        <v>2024</v>
      </c>
      <c r="B146" t="s">
        <v>196</v>
      </c>
      <c r="C146">
        <v>10050</v>
      </c>
      <c r="D146">
        <v>0.6</v>
      </c>
      <c r="E146">
        <v>34.4</v>
      </c>
      <c r="F146">
        <v>65</v>
      </c>
      <c r="G146">
        <v>61.6</v>
      </c>
      <c r="H146">
        <v>69.099999999999994</v>
      </c>
    </row>
    <row r="147" spans="1:8" x14ac:dyDescent="0.3">
      <c r="A147">
        <v>2024</v>
      </c>
      <c r="B147" t="s">
        <v>197</v>
      </c>
      <c r="C147">
        <v>9791</v>
      </c>
      <c r="D147">
        <v>0.9</v>
      </c>
      <c r="E147">
        <v>34.9</v>
      </c>
      <c r="F147">
        <v>64.2</v>
      </c>
      <c r="G147">
        <v>61.1</v>
      </c>
      <c r="H147">
        <v>67.8</v>
      </c>
    </row>
    <row r="148" spans="1:8" x14ac:dyDescent="0.3">
      <c r="A148">
        <v>2024</v>
      </c>
      <c r="B148" t="s">
        <v>198</v>
      </c>
      <c r="C148">
        <v>10360</v>
      </c>
      <c r="D148">
        <v>1</v>
      </c>
      <c r="E148">
        <v>29.7</v>
      </c>
      <c r="F148">
        <v>69.3</v>
      </c>
      <c r="G148">
        <v>66.3</v>
      </c>
      <c r="H148">
        <v>72.900000000000006</v>
      </c>
    </row>
    <row r="149" spans="1:8" x14ac:dyDescent="0.3">
      <c r="A149">
        <v>2024</v>
      </c>
      <c r="B149" t="s">
        <v>199</v>
      </c>
      <c r="C149">
        <v>10792</v>
      </c>
      <c r="D149">
        <v>0.3</v>
      </c>
      <c r="E149">
        <v>25.1</v>
      </c>
      <c r="F149">
        <v>74.599999999999994</v>
      </c>
      <c r="G149">
        <v>72.099999999999994</v>
      </c>
      <c r="H149">
        <v>77.599999999999994</v>
      </c>
    </row>
    <row r="150" spans="1:8" x14ac:dyDescent="0.3">
      <c r="A150">
        <v>2024</v>
      </c>
      <c r="B150" t="s">
        <v>200</v>
      </c>
      <c r="C150">
        <v>10196</v>
      </c>
      <c r="D150">
        <v>1.3</v>
      </c>
      <c r="E150">
        <v>33.1</v>
      </c>
      <c r="F150">
        <v>65.599999999999994</v>
      </c>
      <c r="G150">
        <v>63.2</v>
      </c>
      <c r="H150">
        <v>68.5</v>
      </c>
    </row>
    <row r="151" spans="1:8" x14ac:dyDescent="0.3">
      <c r="A151">
        <v>2024</v>
      </c>
      <c r="B151" t="s">
        <v>201</v>
      </c>
      <c r="C151">
        <v>9962</v>
      </c>
      <c r="D151">
        <v>2.2000000000000002</v>
      </c>
      <c r="E151">
        <v>39.6</v>
      </c>
      <c r="F151">
        <v>58.2</v>
      </c>
      <c r="G151">
        <v>55.3</v>
      </c>
      <c r="H151">
        <v>61.6</v>
      </c>
    </row>
    <row r="152" spans="1:8" x14ac:dyDescent="0.3">
      <c r="A152">
        <v>2024</v>
      </c>
      <c r="B152" t="s">
        <v>202</v>
      </c>
      <c r="C152">
        <v>10695</v>
      </c>
      <c r="D152">
        <v>1.9</v>
      </c>
      <c r="E152">
        <v>35</v>
      </c>
      <c r="F152">
        <v>63.1</v>
      </c>
      <c r="G152">
        <v>60.5</v>
      </c>
      <c r="H152">
        <v>66.2</v>
      </c>
    </row>
    <row r="153" spans="1:8" x14ac:dyDescent="0.3">
      <c r="A153">
        <v>2024</v>
      </c>
      <c r="B153" t="s">
        <v>203</v>
      </c>
      <c r="C153">
        <v>10722</v>
      </c>
      <c r="D153">
        <v>2.6</v>
      </c>
      <c r="E153">
        <v>37.5</v>
      </c>
      <c r="F153">
        <v>60</v>
      </c>
      <c r="G153">
        <v>57.8</v>
      </c>
      <c r="H153">
        <v>62.6</v>
      </c>
    </row>
    <row r="154" spans="1:8" x14ac:dyDescent="0.3">
      <c r="A154">
        <v>2024</v>
      </c>
      <c r="B154" t="s">
        <v>204</v>
      </c>
      <c r="C154">
        <v>10880</v>
      </c>
      <c r="D154">
        <v>3.5</v>
      </c>
      <c r="E154">
        <v>35.9</v>
      </c>
      <c r="F154">
        <v>60.6</v>
      </c>
      <c r="G154">
        <v>58.5</v>
      </c>
      <c r="H154">
        <v>63.1</v>
      </c>
    </row>
    <row r="155" spans="1:8" x14ac:dyDescent="0.3">
      <c r="A155">
        <v>2024</v>
      </c>
      <c r="B155" t="s">
        <v>205</v>
      </c>
      <c r="C155">
        <v>11466</v>
      </c>
      <c r="D155">
        <v>1.9</v>
      </c>
      <c r="E155">
        <v>32.299999999999997</v>
      </c>
      <c r="F155">
        <v>65.8</v>
      </c>
      <c r="G155">
        <v>64.8</v>
      </c>
      <c r="H155">
        <v>67.099999999999994</v>
      </c>
    </row>
    <row r="156" spans="1:8" x14ac:dyDescent="0.3">
      <c r="A156">
        <v>2024</v>
      </c>
      <c r="B156" t="s">
        <v>206</v>
      </c>
      <c r="C156">
        <v>10621</v>
      </c>
      <c r="D156">
        <v>1.3</v>
      </c>
      <c r="E156">
        <v>29.4</v>
      </c>
      <c r="F156">
        <v>69.3</v>
      </c>
      <c r="G156">
        <v>68.5</v>
      </c>
      <c r="H156">
        <v>70.3</v>
      </c>
    </row>
    <row r="157" spans="1:8" x14ac:dyDescent="0.3">
      <c r="A157">
        <v>2024</v>
      </c>
      <c r="B157" t="s">
        <v>207</v>
      </c>
      <c r="C157">
        <v>9860</v>
      </c>
      <c r="D157">
        <v>1.1000000000000001</v>
      </c>
      <c r="E157">
        <v>36.4</v>
      </c>
      <c r="F157">
        <v>62.5</v>
      </c>
      <c r="G157">
        <v>60.2</v>
      </c>
      <c r="H157">
        <v>65.2</v>
      </c>
    </row>
    <row r="158" spans="1:8" x14ac:dyDescent="0.3">
      <c r="A158">
        <v>2024</v>
      </c>
      <c r="B158" t="s">
        <v>208</v>
      </c>
      <c r="C158">
        <v>11378</v>
      </c>
      <c r="D158">
        <v>1.9</v>
      </c>
      <c r="E158">
        <v>28</v>
      </c>
      <c r="F158">
        <v>70.2</v>
      </c>
      <c r="G158">
        <v>68</v>
      </c>
      <c r="H158">
        <v>72.8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37C38-D8C1-47D9-B15D-0D62BAC0E1A7}">
  <sheetPr>
    <tabColor theme="8" tint="0.39997558519241921"/>
  </sheetPr>
  <dimension ref="A1:H102"/>
  <sheetViews>
    <sheetView topLeftCell="A31" workbookViewId="0">
      <selection activeCell="C74" sqref="A2:H102"/>
    </sheetView>
  </sheetViews>
  <sheetFormatPr defaultRowHeight="14.4" x14ac:dyDescent="0.3"/>
  <cols>
    <col min="1" max="1" width="6.88671875" bestFit="1" customWidth="1"/>
    <col min="2" max="2" width="31.21875" bestFit="1" customWidth="1"/>
    <col min="3" max="3" width="14" bestFit="1" customWidth="1"/>
    <col min="4" max="4" width="10" bestFit="1" customWidth="1"/>
    <col min="5" max="5" width="13.5546875" bestFit="1" customWidth="1"/>
    <col min="6" max="6" width="10.5546875" bestFit="1" customWidth="1"/>
    <col min="7" max="7" width="16.44140625" bestFit="1" customWidth="1"/>
    <col min="8" max="8" width="15.77734375" bestFit="1" customWidth="1"/>
  </cols>
  <sheetData>
    <row r="1" spans="1:8" x14ac:dyDescent="0.3">
      <c r="A1" t="s">
        <v>13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3">
      <c r="A2">
        <v>2021</v>
      </c>
      <c r="B2" t="s">
        <v>38</v>
      </c>
      <c r="C2">
        <v>11927</v>
      </c>
      <c r="D2">
        <v>0.4</v>
      </c>
      <c r="E2">
        <v>37.700000000000003</v>
      </c>
      <c r="F2">
        <v>61.9</v>
      </c>
      <c r="G2">
        <v>57.7</v>
      </c>
      <c r="H2">
        <v>67.099999999999994</v>
      </c>
    </row>
    <row r="3" spans="1:8" x14ac:dyDescent="0.3">
      <c r="A3">
        <v>2021</v>
      </c>
      <c r="B3" t="s">
        <v>39</v>
      </c>
      <c r="C3">
        <v>11928</v>
      </c>
      <c r="D3">
        <v>1.2</v>
      </c>
      <c r="E3">
        <v>43.2</v>
      </c>
      <c r="F3">
        <v>55.5</v>
      </c>
      <c r="G3">
        <v>51.6</v>
      </c>
      <c r="H3">
        <v>60.5</v>
      </c>
    </row>
    <row r="4" spans="1:8" x14ac:dyDescent="0.3">
      <c r="A4">
        <v>2021</v>
      </c>
      <c r="B4" t="s">
        <v>40</v>
      </c>
      <c r="C4">
        <v>11920</v>
      </c>
      <c r="D4">
        <v>3.5</v>
      </c>
      <c r="E4">
        <v>46.8</v>
      </c>
      <c r="F4">
        <v>49.7</v>
      </c>
      <c r="G4">
        <v>46.8</v>
      </c>
      <c r="H4">
        <v>53.3</v>
      </c>
    </row>
    <row r="5" spans="1:8" x14ac:dyDescent="0.3">
      <c r="A5">
        <v>2021</v>
      </c>
      <c r="B5" t="s">
        <v>41</v>
      </c>
      <c r="C5">
        <v>11629</v>
      </c>
      <c r="D5">
        <v>0.5</v>
      </c>
      <c r="E5">
        <v>58.7</v>
      </c>
      <c r="F5">
        <v>40.799999999999997</v>
      </c>
      <c r="G5">
        <v>37.299999999999997</v>
      </c>
      <c r="H5">
        <v>45.1</v>
      </c>
    </row>
    <row r="6" spans="1:8" x14ac:dyDescent="0.3">
      <c r="A6">
        <v>2021</v>
      </c>
      <c r="B6" t="s">
        <v>42</v>
      </c>
      <c r="C6">
        <v>10257</v>
      </c>
      <c r="D6">
        <v>1.3</v>
      </c>
      <c r="E6">
        <v>35.4</v>
      </c>
      <c r="F6">
        <v>63.3</v>
      </c>
      <c r="G6">
        <v>60.8</v>
      </c>
      <c r="H6">
        <v>66.3</v>
      </c>
    </row>
    <row r="7" spans="1:8" x14ac:dyDescent="0.3">
      <c r="A7">
        <v>2021</v>
      </c>
      <c r="B7" t="s">
        <v>43</v>
      </c>
      <c r="C7">
        <v>11683</v>
      </c>
      <c r="D7">
        <v>1.3</v>
      </c>
      <c r="E7">
        <v>53.5</v>
      </c>
      <c r="F7">
        <v>45.2</v>
      </c>
      <c r="G7">
        <v>42.7</v>
      </c>
      <c r="H7">
        <v>48.4</v>
      </c>
    </row>
    <row r="8" spans="1:8" x14ac:dyDescent="0.3">
      <c r="A8">
        <v>2021</v>
      </c>
      <c r="B8" t="s">
        <v>44</v>
      </c>
      <c r="C8">
        <v>11847</v>
      </c>
      <c r="D8">
        <v>0.6</v>
      </c>
      <c r="E8">
        <v>28.7</v>
      </c>
      <c r="F8">
        <v>70.7</v>
      </c>
      <c r="G8">
        <v>67.2</v>
      </c>
      <c r="H8">
        <v>75.099999999999994</v>
      </c>
    </row>
    <row r="9" spans="1:8" x14ac:dyDescent="0.3">
      <c r="A9">
        <v>2021</v>
      </c>
      <c r="B9" t="s">
        <v>45</v>
      </c>
      <c r="C9">
        <v>11205</v>
      </c>
      <c r="D9">
        <v>6.4</v>
      </c>
      <c r="E9">
        <v>50.5</v>
      </c>
      <c r="F9">
        <v>43.1</v>
      </c>
      <c r="G9">
        <v>38.6</v>
      </c>
      <c r="H9">
        <v>48.8</v>
      </c>
    </row>
    <row r="10" spans="1:8" x14ac:dyDescent="0.3">
      <c r="A10">
        <v>2021</v>
      </c>
      <c r="B10" t="s">
        <v>46</v>
      </c>
      <c r="C10">
        <v>11248</v>
      </c>
      <c r="D10">
        <v>7.7</v>
      </c>
      <c r="E10">
        <v>53.8</v>
      </c>
      <c r="F10">
        <v>38.5</v>
      </c>
      <c r="G10">
        <v>34.6</v>
      </c>
      <c r="H10">
        <v>43.4</v>
      </c>
    </row>
    <row r="11" spans="1:8" x14ac:dyDescent="0.3">
      <c r="A11">
        <v>2021</v>
      </c>
      <c r="B11" t="s">
        <v>47</v>
      </c>
      <c r="C11">
        <v>11149</v>
      </c>
      <c r="D11">
        <v>6.8</v>
      </c>
      <c r="E11">
        <v>49.4</v>
      </c>
      <c r="F11">
        <v>43.7</v>
      </c>
      <c r="G11">
        <v>39.799999999999997</v>
      </c>
      <c r="H11">
        <v>48.7</v>
      </c>
    </row>
    <row r="12" spans="1:8" x14ac:dyDescent="0.3">
      <c r="A12">
        <v>2021</v>
      </c>
      <c r="B12" t="s">
        <v>48</v>
      </c>
      <c r="C12">
        <v>11168</v>
      </c>
      <c r="D12">
        <v>8.5</v>
      </c>
      <c r="E12">
        <v>53.8</v>
      </c>
      <c r="F12">
        <v>37.700000000000003</v>
      </c>
      <c r="G12">
        <v>34.1</v>
      </c>
      <c r="H12">
        <v>42.2</v>
      </c>
    </row>
    <row r="13" spans="1:8" x14ac:dyDescent="0.3">
      <c r="A13">
        <v>2021</v>
      </c>
      <c r="B13" t="s">
        <v>49</v>
      </c>
      <c r="C13">
        <v>10718</v>
      </c>
      <c r="D13">
        <v>7.6</v>
      </c>
      <c r="E13">
        <v>49.5</v>
      </c>
      <c r="F13">
        <v>42.9</v>
      </c>
      <c r="G13">
        <v>39.5</v>
      </c>
      <c r="H13">
        <v>47.1</v>
      </c>
    </row>
    <row r="14" spans="1:8" x14ac:dyDescent="0.3">
      <c r="A14">
        <v>2021</v>
      </c>
      <c r="B14" t="s">
        <v>50</v>
      </c>
      <c r="C14">
        <v>10905</v>
      </c>
      <c r="D14">
        <v>4.5999999999999996</v>
      </c>
      <c r="E14">
        <v>42.4</v>
      </c>
      <c r="F14">
        <v>53</v>
      </c>
      <c r="G14">
        <v>50.6</v>
      </c>
      <c r="H14">
        <v>56</v>
      </c>
    </row>
    <row r="15" spans="1:8" x14ac:dyDescent="0.3">
      <c r="A15">
        <v>2021</v>
      </c>
      <c r="B15" t="s">
        <v>51</v>
      </c>
      <c r="C15">
        <v>11840</v>
      </c>
      <c r="D15">
        <v>2.6</v>
      </c>
      <c r="E15">
        <v>44.1</v>
      </c>
      <c r="F15">
        <v>53.3</v>
      </c>
      <c r="G15">
        <v>48.8</v>
      </c>
      <c r="H15">
        <v>59.1</v>
      </c>
    </row>
    <row r="16" spans="1:8" x14ac:dyDescent="0.3">
      <c r="A16">
        <v>2021</v>
      </c>
      <c r="B16" t="s">
        <v>52</v>
      </c>
      <c r="C16">
        <v>11888</v>
      </c>
      <c r="D16">
        <v>3</v>
      </c>
      <c r="E16">
        <v>44.9</v>
      </c>
      <c r="F16">
        <v>52.1</v>
      </c>
      <c r="G16">
        <v>45.2</v>
      </c>
      <c r="H16">
        <v>60.8</v>
      </c>
    </row>
    <row r="17" spans="1:8" x14ac:dyDescent="0.3">
      <c r="A17">
        <v>2021</v>
      </c>
      <c r="B17" t="s">
        <v>53</v>
      </c>
      <c r="C17">
        <v>11916</v>
      </c>
      <c r="D17">
        <v>6</v>
      </c>
      <c r="E17">
        <v>46.2</v>
      </c>
      <c r="F17">
        <v>47.8</v>
      </c>
      <c r="G17">
        <v>35.700000000000003</v>
      </c>
      <c r="H17">
        <v>63.2</v>
      </c>
    </row>
    <row r="18" spans="1:8" x14ac:dyDescent="0.3">
      <c r="A18">
        <v>2021</v>
      </c>
      <c r="B18" t="s">
        <v>54</v>
      </c>
      <c r="C18">
        <v>11918</v>
      </c>
      <c r="D18">
        <v>8.6</v>
      </c>
      <c r="E18">
        <v>45.3</v>
      </c>
      <c r="F18">
        <v>46.1</v>
      </c>
      <c r="G18">
        <v>35.799999999999997</v>
      </c>
      <c r="H18">
        <v>59.1</v>
      </c>
    </row>
    <row r="19" spans="1:8" x14ac:dyDescent="0.3">
      <c r="A19">
        <v>2021</v>
      </c>
      <c r="B19" t="s">
        <v>55</v>
      </c>
      <c r="C19">
        <v>11896</v>
      </c>
      <c r="D19">
        <v>3.3</v>
      </c>
      <c r="E19">
        <v>41.6</v>
      </c>
      <c r="F19">
        <v>55.1</v>
      </c>
      <c r="G19">
        <v>46.1</v>
      </c>
      <c r="H19">
        <v>66.599999999999994</v>
      </c>
    </row>
    <row r="20" spans="1:8" x14ac:dyDescent="0.3">
      <c r="A20">
        <v>2021</v>
      </c>
      <c r="B20" t="s">
        <v>56</v>
      </c>
      <c r="C20">
        <v>10133</v>
      </c>
      <c r="D20">
        <v>23.4</v>
      </c>
      <c r="E20">
        <v>51.8</v>
      </c>
      <c r="F20">
        <v>24.8</v>
      </c>
      <c r="G20">
        <v>20.8</v>
      </c>
      <c r="H20">
        <v>29.7</v>
      </c>
    </row>
    <row r="21" spans="1:8" x14ac:dyDescent="0.3">
      <c r="A21">
        <v>2021</v>
      </c>
      <c r="B21" t="s">
        <v>57</v>
      </c>
      <c r="C21">
        <v>10179</v>
      </c>
      <c r="D21">
        <v>28.4</v>
      </c>
      <c r="E21">
        <v>39</v>
      </c>
      <c r="F21">
        <v>32.6</v>
      </c>
      <c r="G21">
        <v>29.2</v>
      </c>
      <c r="H21">
        <v>36.799999999999997</v>
      </c>
    </row>
    <row r="22" spans="1:8" x14ac:dyDescent="0.3">
      <c r="A22">
        <v>2021</v>
      </c>
      <c r="B22" t="s">
        <v>58</v>
      </c>
      <c r="C22">
        <v>11879</v>
      </c>
      <c r="D22">
        <v>2.2000000000000002</v>
      </c>
      <c r="E22">
        <v>45.6</v>
      </c>
      <c r="F22">
        <v>52.2</v>
      </c>
      <c r="G22">
        <v>47.9</v>
      </c>
      <c r="H22">
        <v>57.7</v>
      </c>
    </row>
    <row r="23" spans="1:8" x14ac:dyDescent="0.3">
      <c r="A23">
        <v>2021</v>
      </c>
      <c r="B23" t="s">
        <v>59</v>
      </c>
      <c r="C23">
        <v>11605</v>
      </c>
      <c r="D23">
        <v>8.9</v>
      </c>
      <c r="E23">
        <v>56.6</v>
      </c>
      <c r="F23">
        <v>34.5</v>
      </c>
      <c r="G23">
        <v>30.5</v>
      </c>
      <c r="H23">
        <v>39.5</v>
      </c>
    </row>
    <row r="24" spans="1:8" x14ac:dyDescent="0.3">
      <c r="A24">
        <v>2021</v>
      </c>
      <c r="B24" t="s">
        <v>60</v>
      </c>
      <c r="C24">
        <v>11641</v>
      </c>
      <c r="D24">
        <v>8.5</v>
      </c>
      <c r="E24">
        <v>57.2</v>
      </c>
      <c r="F24">
        <v>34.200000000000003</v>
      </c>
      <c r="G24">
        <v>30.6</v>
      </c>
      <c r="H24">
        <v>38.9</v>
      </c>
    </row>
    <row r="25" spans="1:8" x14ac:dyDescent="0.3">
      <c r="A25">
        <v>2021</v>
      </c>
      <c r="B25" t="s">
        <v>61</v>
      </c>
      <c r="C25">
        <v>11660</v>
      </c>
      <c r="D25">
        <v>6.1</v>
      </c>
      <c r="E25">
        <v>51.3</v>
      </c>
      <c r="F25">
        <v>42.6</v>
      </c>
      <c r="G25">
        <v>38.6</v>
      </c>
      <c r="H25">
        <v>47.6</v>
      </c>
    </row>
    <row r="26" spans="1:8" x14ac:dyDescent="0.3">
      <c r="A26">
        <v>2021</v>
      </c>
      <c r="B26" t="s">
        <v>62</v>
      </c>
      <c r="C26">
        <v>11410</v>
      </c>
      <c r="D26">
        <v>16</v>
      </c>
      <c r="E26">
        <v>56</v>
      </c>
      <c r="F26">
        <v>27.9</v>
      </c>
      <c r="G26">
        <v>25</v>
      </c>
      <c r="H26">
        <v>31.7</v>
      </c>
    </row>
    <row r="27" spans="1:8" x14ac:dyDescent="0.3">
      <c r="A27">
        <v>2021</v>
      </c>
      <c r="B27" t="s">
        <v>63</v>
      </c>
      <c r="C27">
        <v>11350</v>
      </c>
      <c r="D27">
        <v>4.2</v>
      </c>
      <c r="E27">
        <v>50.6</v>
      </c>
      <c r="F27">
        <v>45.1</v>
      </c>
      <c r="G27">
        <v>41.8</v>
      </c>
      <c r="H27">
        <v>49.4</v>
      </c>
    </row>
    <row r="28" spans="1:8" x14ac:dyDescent="0.3">
      <c r="A28">
        <v>2021</v>
      </c>
      <c r="B28" t="s">
        <v>64</v>
      </c>
      <c r="C28">
        <v>11397</v>
      </c>
      <c r="D28">
        <v>4.9000000000000004</v>
      </c>
      <c r="E28">
        <v>48.9</v>
      </c>
      <c r="F28">
        <v>46.3</v>
      </c>
      <c r="G28">
        <v>43.4</v>
      </c>
      <c r="H28">
        <v>49.9</v>
      </c>
    </row>
    <row r="29" spans="1:8" x14ac:dyDescent="0.3">
      <c r="A29">
        <v>2021</v>
      </c>
      <c r="B29" t="s">
        <v>65</v>
      </c>
      <c r="C29">
        <v>9912</v>
      </c>
      <c r="D29">
        <v>2.5</v>
      </c>
      <c r="E29">
        <v>37.299999999999997</v>
      </c>
      <c r="F29">
        <v>60.1</v>
      </c>
      <c r="G29">
        <v>55.2</v>
      </c>
      <c r="H29">
        <v>66.3</v>
      </c>
    </row>
    <row r="30" spans="1:8" x14ac:dyDescent="0.3">
      <c r="A30">
        <v>2021</v>
      </c>
      <c r="B30" t="s">
        <v>66</v>
      </c>
      <c r="C30">
        <v>10417</v>
      </c>
      <c r="D30">
        <v>3.3</v>
      </c>
      <c r="E30">
        <v>39.9</v>
      </c>
      <c r="F30">
        <v>56.8</v>
      </c>
      <c r="G30">
        <v>52.4</v>
      </c>
      <c r="H30">
        <v>62.3</v>
      </c>
    </row>
    <row r="31" spans="1:8" x14ac:dyDescent="0.3">
      <c r="A31">
        <v>2021</v>
      </c>
      <c r="B31" t="s">
        <v>67</v>
      </c>
      <c r="C31">
        <v>9682</v>
      </c>
      <c r="D31">
        <v>3</v>
      </c>
      <c r="E31">
        <v>41.3</v>
      </c>
      <c r="F31">
        <v>55.7</v>
      </c>
      <c r="G31">
        <v>51.8</v>
      </c>
      <c r="H31">
        <v>60.5</v>
      </c>
    </row>
    <row r="32" spans="1:8" x14ac:dyDescent="0.3">
      <c r="A32">
        <v>2021</v>
      </c>
      <c r="B32" t="s">
        <v>68</v>
      </c>
      <c r="C32">
        <v>9484</v>
      </c>
      <c r="D32">
        <v>3.1</v>
      </c>
      <c r="E32">
        <v>41.4</v>
      </c>
      <c r="F32">
        <v>55.4</v>
      </c>
      <c r="G32">
        <v>52.3</v>
      </c>
      <c r="H32">
        <v>59.4</v>
      </c>
    </row>
    <row r="33" spans="1:8" x14ac:dyDescent="0.3">
      <c r="A33">
        <v>2021</v>
      </c>
      <c r="B33" t="s">
        <v>69</v>
      </c>
      <c r="C33">
        <v>10249</v>
      </c>
      <c r="D33">
        <v>2.2000000000000002</v>
      </c>
      <c r="E33">
        <v>33.299999999999997</v>
      </c>
      <c r="F33">
        <v>64.599999999999994</v>
      </c>
      <c r="G33">
        <v>60.6</v>
      </c>
      <c r="H33">
        <v>69.400000000000006</v>
      </c>
    </row>
    <row r="34" spans="1:8" x14ac:dyDescent="0.3">
      <c r="A34">
        <v>2021</v>
      </c>
      <c r="B34" t="s">
        <v>70</v>
      </c>
      <c r="C34">
        <v>10781</v>
      </c>
      <c r="D34">
        <v>1.1000000000000001</v>
      </c>
      <c r="E34">
        <v>26.9</v>
      </c>
      <c r="F34">
        <v>71.900000000000006</v>
      </c>
      <c r="G34">
        <v>68.5</v>
      </c>
      <c r="H34">
        <v>76.2</v>
      </c>
    </row>
    <row r="35" spans="1:8" x14ac:dyDescent="0.3">
      <c r="A35">
        <v>2021</v>
      </c>
      <c r="B35" t="s">
        <v>71</v>
      </c>
      <c r="C35">
        <v>9963</v>
      </c>
      <c r="D35">
        <v>1.6</v>
      </c>
      <c r="E35">
        <v>36.5</v>
      </c>
      <c r="F35">
        <v>61.9</v>
      </c>
      <c r="G35">
        <v>59</v>
      </c>
      <c r="H35">
        <v>65.599999999999994</v>
      </c>
    </row>
    <row r="36" spans="1:8" x14ac:dyDescent="0.3">
      <c r="A36">
        <v>2021</v>
      </c>
      <c r="B36" t="s">
        <v>72</v>
      </c>
      <c r="C36">
        <v>9757</v>
      </c>
      <c r="D36">
        <v>3.5</v>
      </c>
      <c r="E36">
        <v>43.5</v>
      </c>
      <c r="F36">
        <v>53</v>
      </c>
      <c r="G36">
        <v>50.6</v>
      </c>
      <c r="H36">
        <v>56</v>
      </c>
    </row>
    <row r="37" spans="1:8" x14ac:dyDescent="0.3">
      <c r="A37">
        <v>2021</v>
      </c>
      <c r="B37" t="s">
        <v>73</v>
      </c>
      <c r="C37">
        <v>10418</v>
      </c>
      <c r="D37">
        <v>3.3</v>
      </c>
      <c r="E37">
        <v>44</v>
      </c>
      <c r="F37">
        <v>52.7</v>
      </c>
      <c r="G37">
        <v>49</v>
      </c>
      <c r="H37">
        <v>57.3</v>
      </c>
    </row>
    <row r="38" spans="1:8" x14ac:dyDescent="0.3">
      <c r="A38">
        <v>2021</v>
      </c>
      <c r="B38" t="s">
        <v>74</v>
      </c>
      <c r="C38">
        <v>10657</v>
      </c>
      <c r="D38">
        <v>3</v>
      </c>
      <c r="E38">
        <v>46.7</v>
      </c>
      <c r="F38">
        <v>50.4</v>
      </c>
      <c r="G38">
        <v>47</v>
      </c>
      <c r="H38">
        <v>54.6</v>
      </c>
    </row>
    <row r="39" spans="1:8" x14ac:dyDescent="0.3">
      <c r="A39">
        <v>2021</v>
      </c>
      <c r="B39" t="s">
        <v>75</v>
      </c>
      <c r="C39">
        <v>10825</v>
      </c>
      <c r="D39">
        <v>3.5</v>
      </c>
      <c r="E39">
        <v>46.8</v>
      </c>
      <c r="F39">
        <v>49.7</v>
      </c>
      <c r="G39">
        <v>46.5</v>
      </c>
      <c r="H39">
        <v>53.7</v>
      </c>
    </row>
    <row r="40" spans="1:8" x14ac:dyDescent="0.3">
      <c r="A40">
        <v>2021</v>
      </c>
      <c r="B40" t="s">
        <v>76</v>
      </c>
      <c r="C40">
        <v>11441</v>
      </c>
      <c r="D40">
        <v>2.6</v>
      </c>
      <c r="E40">
        <v>41.4</v>
      </c>
      <c r="F40">
        <v>56.1</v>
      </c>
      <c r="G40">
        <v>53.2</v>
      </c>
      <c r="H40">
        <v>59.7</v>
      </c>
    </row>
    <row r="41" spans="1:8" x14ac:dyDescent="0.3">
      <c r="A41">
        <v>2021</v>
      </c>
      <c r="B41" t="s">
        <v>77</v>
      </c>
      <c r="C41">
        <v>10325</v>
      </c>
      <c r="D41">
        <v>1.6</v>
      </c>
      <c r="E41">
        <v>39.5</v>
      </c>
      <c r="F41">
        <v>58.9</v>
      </c>
      <c r="G41">
        <v>55.9</v>
      </c>
      <c r="H41">
        <v>62.5</v>
      </c>
    </row>
    <row r="42" spans="1:8" x14ac:dyDescent="0.3">
      <c r="A42">
        <v>2021</v>
      </c>
      <c r="B42" t="s">
        <v>78</v>
      </c>
      <c r="C42">
        <v>9876</v>
      </c>
      <c r="D42">
        <v>1.9</v>
      </c>
      <c r="E42">
        <v>46.3</v>
      </c>
      <c r="F42">
        <v>51.8</v>
      </c>
      <c r="G42">
        <v>48.5</v>
      </c>
      <c r="H42">
        <v>55.9</v>
      </c>
    </row>
    <row r="43" spans="1:8" x14ac:dyDescent="0.3">
      <c r="A43">
        <v>2021</v>
      </c>
      <c r="B43" t="s">
        <v>79</v>
      </c>
      <c r="C43">
        <v>10883</v>
      </c>
      <c r="D43">
        <v>8.9</v>
      </c>
      <c r="E43">
        <v>55.6</v>
      </c>
      <c r="F43">
        <v>35.5</v>
      </c>
      <c r="G43">
        <v>32.4</v>
      </c>
      <c r="H43">
        <v>39.6</v>
      </c>
    </row>
    <row r="44" spans="1:8" x14ac:dyDescent="0.3">
      <c r="A44">
        <v>2021</v>
      </c>
      <c r="B44" t="s">
        <v>80</v>
      </c>
      <c r="C44">
        <v>10897</v>
      </c>
      <c r="D44">
        <v>4.3</v>
      </c>
      <c r="E44">
        <v>48</v>
      </c>
      <c r="F44">
        <v>47.7</v>
      </c>
      <c r="G44">
        <v>44.6</v>
      </c>
      <c r="H44">
        <v>51.8</v>
      </c>
    </row>
    <row r="45" spans="1:8" x14ac:dyDescent="0.3">
      <c r="A45">
        <v>2021</v>
      </c>
      <c r="B45" t="s">
        <v>81</v>
      </c>
      <c r="C45">
        <v>10875</v>
      </c>
      <c r="D45">
        <v>3.7</v>
      </c>
      <c r="E45">
        <v>45.5</v>
      </c>
      <c r="F45">
        <v>50.8</v>
      </c>
      <c r="G45">
        <v>48.1</v>
      </c>
      <c r="H45">
        <v>54.2</v>
      </c>
    </row>
    <row r="46" spans="1:8" x14ac:dyDescent="0.3">
      <c r="A46">
        <v>2021</v>
      </c>
      <c r="B46" t="s">
        <v>82</v>
      </c>
      <c r="C46">
        <v>11451</v>
      </c>
      <c r="D46">
        <v>2.8</v>
      </c>
      <c r="E46">
        <v>31.5</v>
      </c>
      <c r="F46">
        <v>65.7</v>
      </c>
      <c r="G46">
        <v>63.1</v>
      </c>
      <c r="H46">
        <v>69</v>
      </c>
    </row>
    <row r="47" spans="1:8" x14ac:dyDescent="0.3">
      <c r="A47">
        <v>2022</v>
      </c>
      <c r="B47" t="s">
        <v>38</v>
      </c>
      <c r="C47">
        <v>11893</v>
      </c>
      <c r="D47">
        <v>0.2</v>
      </c>
      <c r="E47">
        <v>57.7</v>
      </c>
      <c r="F47">
        <v>42.1</v>
      </c>
      <c r="G47">
        <v>42.2</v>
      </c>
      <c r="H47">
        <v>41.9</v>
      </c>
    </row>
    <row r="48" spans="1:8" x14ac:dyDescent="0.3">
      <c r="A48">
        <v>2022</v>
      </c>
      <c r="B48" t="s">
        <v>39</v>
      </c>
      <c r="C48">
        <v>11896</v>
      </c>
      <c r="D48">
        <v>0.5</v>
      </c>
      <c r="E48">
        <v>47</v>
      </c>
      <c r="F48">
        <v>52.5</v>
      </c>
      <c r="G48">
        <v>50.7</v>
      </c>
      <c r="H48">
        <v>54.6</v>
      </c>
    </row>
    <row r="49" spans="1:8" x14ac:dyDescent="0.3">
      <c r="A49">
        <v>2022</v>
      </c>
      <c r="B49" t="s">
        <v>40</v>
      </c>
      <c r="C49">
        <v>11913</v>
      </c>
      <c r="D49">
        <v>3.1</v>
      </c>
      <c r="E49">
        <v>47.7</v>
      </c>
      <c r="F49">
        <v>49.2</v>
      </c>
      <c r="G49">
        <v>47.1</v>
      </c>
      <c r="H49">
        <v>51.6</v>
      </c>
    </row>
    <row r="50" spans="1:8" x14ac:dyDescent="0.3">
      <c r="A50">
        <v>2022</v>
      </c>
      <c r="B50" t="s">
        <v>41</v>
      </c>
      <c r="C50">
        <v>11504</v>
      </c>
      <c r="D50">
        <v>0.4</v>
      </c>
      <c r="E50">
        <v>66.099999999999994</v>
      </c>
      <c r="F50">
        <v>33.4</v>
      </c>
      <c r="G50">
        <v>32.4</v>
      </c>
      <c r="H50">
        <v>34.700000000000003</v>
      </c>
    </row>
    <row r="51" spans="1:8" x14ac:dyDescent="0.3">
      <c r="A51">
        <v>2022</v>
      </c>
      <c r="B51" t="s">
        <v>42</v>
      </c>
      <c r="C51">
        <v>9740</v>
      </c>
      <c r="D51">
        <v>1.2</v>
      </c>
      <c r="E51">
        <v>33.700000000000003</v>
      </c>
      <c r="F51">
        <v>65.099999999999994</v>
      </c>
      <c r="G51">
        <v>63.7</v>
      </c>
      <c r="H51">
        <v>66.5</v>
      </c>
    </row>
    <row r="52" spans="1:8" x14ac:dyDescent="0.3">
      <c r="A52">
        <v>2022</v>
      </c>
      <c r="B52" t="s">
        <v>44</v>
      </c>
      <c r="C52">
        <v>11720</v>
      </c>
      <c r="D52">
        <v>0.3</v>
      </c>
      <c r="E52">
        <v>64.3</v>
      </c>
      <c r="F52">
        <v>35.4</v>
      </c>
      <c r="G52">
        <v>34.5</v>
      </c>
      <c r="H52">
        <v>36.4</v>
      </c>
    </row>
    <row r="53" spans="1:8" x14ac:dyDescent="0.3">
      <c r="A53">
        <v>2022</v>
      </c>
      <c r="B53" t="s">
        <v>51</v>
      </c>
      <c r="C53">
        <v>11895</v>
      </c>
      <c r="D53">
        <v>1.9</v>
      </c>
      <c r="E53">
        <v>39.5</v>
      </c>
      <c r="F53">
        <v>58.6</v>
      </c>
      <c r="G53">
        <v>55.5</v>
      </c>
      <c r="H53">
        <v>62.2</v>
      </c>
    </row>
    <row r="54" spans="1:8" x14ac:dyDescent="0.3">
      <c r="A54">
        <v>2022</v>
      </c>
      <c r="B54" t="s">
        <v>52</v>
      </c>
      <c r="C54">
        <v>11859</v>
      </c>
      <c r="D54">
        <v>2.2999999999999998</v>
      </c>
      <c r="E54">
        <v>44.2</v>
      </c>
      <c r="F54">
        <v>53.5</v>
      </c>
      <c r="G54">
        <v>46.9</v>
      </c>
      <c r="H54">
        <v>61.2</v>
      </c>
    </row>
    <row r="55" spans="1:8" x14ac:dyDescent="0.3">
      <c r="A55">
        <v>2022</v>
      </c>
      <c r="B55" t="s">
        <v>53</v>
      </c>
      <c r="C55">
        <v>11852</v>
      </c>
      <c r="D55">
        <v>5.3</v>
      </c>
      <c r="E55">
        <v>46.5</v>
      </c>
      <c r="F55">
        <v>48.1</v>
      </c>
      <c r="G55">
        <v>37.200000000000003</v>
      </c>
      <c r="H55">
        <v>60.8</v>
      </c>
    </row>
    <row r="56" spans="1:8" x14ac:dyDescent="0.3">
      <c r="A56">
        <v>2022</v>
      </c>
      <c r="B56" t="s">
        <v>54</v>
      </c>
      <c r="C56">
        <v>11862</v>
      </c>
      <c r="D56">
        <v>8.9</v>
      </c>
      <c r="E56">
        <v>43.4</v>
      </c>
      <c r="F56">
        <v>47.7</v>
      </c>
      <c r="G56">
        <v>37.9</v>
      </c>
      <c r="H56">
        <v>59</v>
      </c>
    </row>
    <row r="57" spans="1:8" x14ac:dyDescent="0.3">
      <c r="A57">
        <v>2022</v>
      </c>
      <c r="B57" t="s">
        <v>55</v>
      </c>
      <c r="C57">
        <v>11838</v>
      </c>
      <c r="D57">
        <v>3</v>
      </c>
      <c r="E57">
        <v>42.6</v>
      </c>
      <c r="F57">
        <v>54.3</v>
      </c>
      <c r="G57">
        <v>45.3</v>
      </c>
      <c r="H57">
        <v>64.8</v>
      </c>
    </row>
    <row r="58" spans="1:8" x14ac:dyDescent="0.3">
      <c r="A58">
        <v>2022</v>
      </c>
      <c r="B58" t="s">
        <v>56</v>
      </c>
      <c r="C58">
        <v>9886</v>
      </c>
      <c r="D58">
        <v>23.9</v>
      </c>
      <c r="E58">
        <v>49.5</v>
      </c>
      <c r="F58">
        <v>26.5</v>
      </c>
      <c r="G58">
        <v>24.4</v>
      </c>
      <c r="H58">
        <v>28.9</v>
      </c>
    </row>
    <row r="59" spans="1:8" x14ac:dyDescent="0.3">
      <c r="A59">
        <v>2022</v>
      </c>
      <c r="B59" t="s">
        <v>57</v>
      </c>
      <c r="C59">
        <v>10029</v>
      </c>
      <c r="D59">
        <v>27.7</v>
      </c>
      <c r="E59">
        <v>42.3</v>
      </c>
      <c r="F59">
        <v>30</v>
      </c>
      <c r="G59">
        <v>28.2</v>
      </c>
      <c r="H59">
        <v>31.9</v>
      </c>
    </row>
    <row r="60" spans="1:8" x14ac:dyDescent="0.3">
      <c r="A60">
        <v>2022</v>
      </c>
      <c r="B60" t="s">
        <v>58</v>
      </c>
      <c r="C60">
        <v>11816</v>
      </c>
      <c r="D60">
        <v>2.7</v>
      </c>
      <c r="E60">
        <v>43.2</v>
      </c>
      <c r="F60">
        <v>54</v>
      </c>
      <c r="G60">
        <v>52.2</v>
      </c>
      <c r="H60">
        <v>56.2</v>
      </c>
    </row>
    <row r="61" spans="1:8" x14ac:dyDescent="0.3">
      <c r="A61">
        <v>2022</v>
      </c>
      <c r="B61" t="s">
        <v>59</v>
      </c>
      <c r="C61">
        <v>11507</v>
      </c>
      <c r="D61">
        <v>5.8</v>
      </c>
      <c r="E61">
        <v>54.5</v>
      </c>
      <c r="F61">
        <v>39.700000000000003</v>
      </c>
      <c r="G61">
        <v>36.799999999999997</v>
      </c>
      <c r="H61">
        <v>43</v>
      </c>
    </row>
    <row r="62" spans="1:8" x14ac:dyDescent="0.3">
      <c r="A62">
        <v>2022</v>
      </c>
      <c r="B62" t="s">
        <v>60</v>
      </c>
      <c r="C62">
        <v>11157</v>
      </c>
      <c r="D62">
        <v>2.5</v>
      </c>
      <c r="E62">
        <v>44.8</v>
      </c>
      <c r="F62">
        <v>52.7</v>
      </c>
      <c r="G62">
        <v>49.1</v>
      </c>
      <c r="H62">
        <v>56.8</v>
      </c>
    </row>
    <row r="63" spans="1:8" x14ac:dyDescent="0.3">
      <c r="A63">
        <v>2022</v>
      </c>
      <c r="B63" t="s">
        <v>62</v>
      </c>
      <c r="C63">
        <v>11613</v>
      </c>
      <c r="D63">
        <v>4.5999999999999996</v>
      </c>
      <c r="E63">
        <v>48.3</v>
      </c>
      <c r="F63">
        <v>47.1</v>
      </c>
      <c r="G63">
        <v>44.3</v>
      </c>
      <c r="H63">
        <v>50.3</v>
      </c>
    </row>
    <row r="64" spans="1:8" x14ac:dyDescent="0.3">
      <c r="A64">
        <v>2022</v>
      </c>
      <c r="B64" t="s">
        <v>63</v>
      </c>
      <c r="C64">
        <v>11303</v>
      </c>
      <c r="D64">
        <v>3.9</v>
      </c>
      <c r="E64">
        <v>48.6</v>
      </c>
      <c r="F64">
        <v>47.6</v>
      </c>
      <c r="G64">
        <v>45.3</v>
      </c>
      <c r="H64">
        <v>50.2</v>
      </c>
    </row>
    <row r="65" spans="1:8" x14ac:dyDescent="0.3">
      <c r="A65">
        <v>2022</v>
      </c>
      <c r="B65" t="s">
        <v>65</v>
      </c>
      <c r="C65">
        <v>10010</v>
      </c>
      <c r="D65">
        <v>1.6</v>
      </c>
      <c r="E65">
        <v>34.9</v>
      </c>
      <c r="F65">
        <v>63.5</v>
      </c>
      <c r="G65">
        <v>59.6</v>
      </c>
      <c r="H65">
        <v>68</v>
      </c>
    </row>
    <row r="66" spans="1:8" x14ac:dyDescent="0.3">
      <c r="A66">
        <v>2022</v>
      </c>
      <c r="B66" t="s">
        <v>66</v>
      </c>
      <c r="C66">
        <v>10539</v>
      </c>
      <c r="D66">
        <v>1.8</v>
      </c>
      <c r="E66">
        <v>36.200000000000003</v>
      </c>
      <c r="F66">
        <v>62</v>
      </c>
      <c r="G66">
        <v>58.6</v>
      </c>
      <c r="H66">
        <v>65.8</v>
      </c>
    </row>
    <row r="67" spans="1:8" x14ac:dyDescent="0.3">
      <c r="A67">
        <v>2022</v>
      </c>
      <c r="B67" t="s">
        <v>67</v>
      </c>
      <c r="C67">
        <v>9780</v>
      </c>
      <c r="D67">
        <v>1.8</v>
      </c>
      <c r="E67">
        <v>39.6</v>
      </c>
      <c r="F67">
        <v>58.6</v>
      </c>
      <c r="G67">
        <v>54.4</v>
      </c>
      <c r="H67">
        <v>63.3</v>
      </c>
    </row>
    <row r="68" spans="1:8" x14ac:dyDescent="0.3">
      <c r="A68">
        <v>2022</v>
      </c>
      <c r="B68" t="s">
        <v>68</v>
      </c>
      <c r="C68">
        <v>9600</v>
      </c>
      <c r="D68">
        <v>2</v>
      </c>
      <c r="E68">
        <v>41.2</v>
      </c>
      <c r="F68">
        <v>56.9</v>
      </c>
      <c r="G68">
        <v>53.3</v>
      </c>
      <c r="H68">
        <v>60.9</v>
      </c>
    </row>
    <row r="69" spans="1:8" x14ac:dyDescent="0.3">
      <c r="A69">
        <v>2022</v>
      </c>
      <c r="B69" t="s">
        <v>69</v>
      </c>
      <c r="C69">
        <v>10403</v>
      </c>
      <c r="D69">
        <v>1.9</v>
      </c>
      <c r="E69">
        <v>31.7</v>
      </c>
      <c r="F69">
        <v>66.400000000000006</v>
      </c>
      <c r="G69">
        <v>63.3</v>
      </c>
      <c r="H69">
        <v>70</v>
      </c>
    </row>
    <row r="70" spans="1:8" x14ac:dyDescent="0.3">
      <c r="A70">
        <v>2022</v>
      </c>
      <c r="B70" t="s">
        <v>70</v>
      </c>
      <c r="C70">
        <v>10862</v>
      </c>
      <c r="D70">
        <v>0.8</v>
      </c>
      <c r="E70">
        <v>25.6</v>
      </c>
      <c r="F70">
        <v>73.599999999999994</v>
      </c>
      <c r="G70">
        <v>70.7</v>
      </c>
      <c r="H70">
        <v>76.900000000000006</v>
      </c>
    </row>
    <row r="71" spans="1:8" x14ac:dyDescent="0.3">
      <c r="A71">
        <v>2022</v>
      </c>
      <c r="B71" t="s">
        <v>71</v>
      </c>
      <c r="C71">
        <v>10129</v>
      </c>
      <c r="D71">
        <v>1.1000000000000001</v>
      </c>
      <c r="E71">
        <v>36.5</v>
      </c>
      <c r="F71">
        <v>62.4</v>
      </c>
      <c r="G71">
        <v>58.6</v>
      </c>
      <c r="H71">
        <v>66.8</v>
      </c>
    </row>
    <row r="72" spans="1:8" x14ac:dyDescent="0.3">
      <c r="A72">
        <v>2022</v>
      </c>
      <c r="B72" t="s">
        <v>72</v>
      </c>
      <c r="C72">
        <v>9977</v>
      </c>
      <c r="D72">
        <v>3.3</v>
      </c>
      <c r="E72">
        <v>43.2</v>
      </c>
      <c r="F72">
        <v>53.5</v>
      </c>
      <c r="G72">
        <v>50</v>
      </c>
      <c r="H72">
        <v>57.4</v>
      </c>
    </row>
    <row r="73" spans="1:8" x14ac:dyDescent="0.3">
      <c r="A73">
        <v>2022</v>
      </c>
      <c r="B73" t="s">
        <v>73</v>
      </c>
      <c r="C73">
        <v>10632</v>
      </c>
      <c r="D73">
        <v>2.2000000000000002</v>
      </c>
      <c r="E73">
        <v>42.8</v>
      </c>
      <c r="F73">
        <v>55</v>
      </c>
      <c r="G73">
        <v>52.2</v>
      </c>
      <c r="H73">
        <v>58.1</v>
      </c>
    </row>
    <row r="74" spans="1:8" x14ac:dyDescent="0.3">
      <c r="A74">
        <v>2022</v>
      </c>
      <c r="B74" t="s">
        <v>74</v>
      </c>
      <c r="C74">
        <v>10733</v>
      </c>
      <c r="D74">
        <v>2.6</v>
      </c>
      <c r="E74">
        <v>43.5</v>
      </c>
      <c r="F74">
        <v>53.9</v>
      </c>
      <c r="G74">
        <v>51.3</v>
      </c>
      <c r="H74">
        <v>56.9</v>
      </c>
    </row>
    <row r="75" spans="1:8" x14ac:dyDescent="0.3">
      <c r="A75">
        <v>2022</v>
      </c>
      <c r="B75" t="s">
        <v>75</v>
      </c>
      <c r="C75">
        <v>10732</v>
      </c>
      <c r="D75">
        <v>3.6</v>
      </c>
      <c r="E75">
        <v>42.6</v>
      </c>
      <c r="F75">
        <v>53.8</v>
      </c>
      <c r="G75">
        <v>51.3</v>
      </c>
      <c r="H75">
        <v>56.8</v>
      </c>
    </row>
    <row r="76" spans="1:8" x14ac:dyDescent="0.3">
      <c r="A76">
        <v>2022</v>
      </c>
      <c r="B76" t="s">
        <v>76</v>
      </c>
      <c r="C76">
        <v>11381</v>
      </c>
      <c r="D76">
        <v>2</v>
      </c>
      <c r="E76">
        <v>37.6</v>
      </c>
      <c r="F76">
        <v>60.4</v>
      </c>
      <c r="G76">
        <v>59.2</v>
      </c>
      <c r="H76">
        <v>61.8</v>
      </c>
    </row>
    <row r="77" spans="1:8" x14ac:dyDescent="0.3">
      <c r="A77">
        <v>2022</v>
      </c>
      <c r="B77" t="s">
        <v>77</v>
      </c>
      <c r="C77">
        <v>10185</v>
      </c>
      <c r="D77">
        <v>1.1000000000000001</v>
      </c>
      <c r="E77">
        <v>36.700000000000003</v>
      </c>
      <c r="F77">
        <v>62.2</v>
      </c>
      <c r="G77">
        <v>60.5</v>
      </c>
      <c r="H77">
        <v>64.2</v>
      </c>
    </row>
    <row r="78" spans="1:8" x14ac:dyDescent="0.3">
      <c r="A78">
        <v>2022</v>
      </c>
      <c r="B78" t="s">
        <v>78</v>
      </c>
      <c r="C78">
        <v>9826</v>
      </c>
      <c r="D78">
        <v>1.5</v>
      </c>
      <c r="E78">
        <v>42.9</v>
      </c>
      <c r="F78">
        <v>55.6</v>
      </c>
      <c r="G78">
        <v>52.7</v>
      </c>
      <c r="H78">
        <v>58.9</v>
      </c>
    </row>
    <row r="79" spans="1:8" x14ac:dyDescent="0.3">
      <c r="A79">
        <v>2022</v>
      </c>
      <c r="B79" t="s">
        <v>79</v>
      </c>
      <c r="C79">
        <v>10942</v>
      </c>
      <c r="D79">
        <v>11.2</v>
      </c>
      <c r="E79">
        <v>51.9</v>
      </c>
      <c r="F79">
        <v>36.9</v>
      </c>
      <c r="G79">
        <v>34.9</v>
      </c>
      <c r="H79">
        <v>39.200000000000003</v>
      </c>
    </row>
    <row r="80" spans="1:8" x14ac:dyDescent="0.3">
      <c r="A80">
        <v>2022</v>
      </c>
      <c r="B80" t="s">
        <v>80</v>
      </c>
      <c r="C80">
        <v>10936</v>
      </c>
      <c r="D80">
        <v>5.9</v>
      </c>
      <c r="E80">
        <v>46</v>
      </c>
      <c r="F80">
        <v>48.1</v>
      </c>
      <c r="G80">
        <v>45.5</v>
      </c>
      <c r="H80">
        <v>51.2</v>
      </c>
    </row>
    <row r="81" spans="1:8" x14ac:dyDescent="0.3">
      <c r="A81">
        <v>2022</v>
      </c>
      <c r="B81" t="s">
        <v>81</v>
      </c>
      <c r="C81">
        <v>10846</v>
      </c>
      <c r="D81">
        <v>5.0999999999999996</v>
      </c>
      <c r="E81">
        <v>42.2</v>
      </c>
      <c r="F81">
        <v>52.7</v>
      </c>
      <c r="G81">
        <v>50.3</v>
      </c>
      <c r="H81">
        <v>55.6</v>
      </c>
    </row>
    <row r="82" spans="1:8" x14ac:dyDescent="0.3">
      <c r="A82">
        <v>2022</v>
      </c>
      <c r="B82" t="s">
        <v>82</v>
      </c>
      <c r="C82">
        <v>11488</v>
      </c>
      <c r="D82">
        <v>1.6</v>
      </c>
      <c r="E82">
        <v>30.8</v>
      </c>
      <c r="F82">
        <v>67.599999999999994</v>
      </c>
      <c r="G82">
        <v>65.3</v>
      </c>
      <c r="H82">
        <v>70.2</v>
      </c>
    </row>
    <row r="83" spans="1:8" x14ac:dyDescent="0.3">
      <c r="A83">
        <v>2023</v>
      </c>
      <c r="B83" t="s">
        <v>38</v>
      </c>
      <c r="C83">
        <v>11932</v>
      </c>
      <c r="D83">
        <v>0.4</v>
      </c>
      <c r="E83">
        <v>55.3</v>
      </c>
      <c r="F83">
        <v>44.2</v>
      </c>
      <c r="G83">
        <v>43.3</v>
      </c>
      <c r="H83">
        <v>45.4</v>
      </c>
    </row>
    <row r="84" spans="1:8" x14ac:dyDescent="0.3">
      <c r="A84">
        <v>2023</v>
      </c>
      <c r="B84" t="s">
        <v>39</v>
      </c>
      <c r="C84">
        <v>11924</v>
      </c>
      <c r="D84">
        <v>0.5</v>
      </c>
      <c r="E84">
        <v>44.7</v>
      </c>
      <c r="F84">
        <v>54.8</v>
      </c>
      <c r="G84">
        <v>53.6</v>
      </c>
      <c r="H84">
        <v>56.2</v>
      </c>
    </row>
    <row r="85" spans="1:8" x14ac:dyDescent="0.3">
      <c r="A85">
        <v>2023</v>
      </c>
      <c r="B85" t="s">
        <v>40</v>
      </c>
      <c r="C85">
        <v>11937</v>
      </c>
      <c r="D85">
        <v>2.8</v>
      </c>
      <c r="E85">
        <v>47.2</v>
      </c>
      <c r="F85">
        <v>49.9</v>
      </c>
      <c r="G85">
        <v>48.7</v>
      </c>
      <c r="H85">
        <v>51.4</v>
      </c>
    </row>
    <row r="86" spans="1:8" x14ac:dyDescent="0.3">
      <c r="A86">
        <v>2023</v>
      </c>
      <c r="B86" t="s">
        <v>41</v>
      </c>
      <c r="C86">
        <v>11653</v>
      </c>
      <c r="D86">
        <v>0.4</v>
      </c>
      <c r="E86">
        <v>62.1</v>
      </c>
      <c r="F86">
        <v>37.5</v>
      </c>
      <c r="G86">
        <v>36.1</v>
      </c>
      <c r="H86">
        <v>39.299999999999997</v>
      </c>
    </row>
    <row r="87" spans="1:8" x14ac:dyDescent="0.3">
      <c r="A87">
        <v>2023</v>
      </c>
      <c r="B87" t="s">
        <v>42</v>
      </c>
      <c r="C87">
        <v>9760</v>
      </c>
      <c r="D87">
        <v>1.6</v>
      </c>
      <c r="E87">
        <v>37.299999999999997</v>
      </c>
      <c r="F87">
        <v>61</v>
      </c>
      <c r="G87">
        <v>60.1</v>
      </c>
      <c r="H87">
        <v>62.2</v>
      </c>
    </row>
    <row r="88" spans="1:8" x14ac:dyDescent="0.3">
      <c r="A88">
        <v>2023</v>
      </c>
      <c r="B88" t="s">
        <v>44</v>
      </c>
      <c r="C88">
        <v>11774</v>
      </c>
      <c r="D88">
        <v>0.4</v>
      </c>
      <c r="E88">
        <v>59.5</v>
      </c>
      <c r="F88">
        <v>40</v>
      </c>
      <c r="G88">
        <v>38.4</v>
      </c>
      <c r="H88">
        <v>42</v>
      </c>
    </row>
    <row r="89" spans="1:8" x14ac:dyDescent="0.3">
      <c r="A89">
        <v>2023</v>
      </c>
      <c r="B89" t="s">
        <v>55</v>
      </c>
      <c r="C89">
        <v>9612</v>
      </c>
      <c r="D89">
        <v>21.2</v>
      </c>
      <c r="E89">
        <v>49.5</v>
      </c>
      <c r="F89">
        <v>29.3</v>
      </c>
      <c r="G89">
        <v>26.3</v>
      </c>
      <c r="H89">
        <v>33</v>
      </c>
    </row>
    <row r="90" spans="1:8" x14ac:dyDescent="0.3">
      <c r="A90">
        <v>2023</v>
      </c>
      <c r="B90" t="s">
        <v>56</v>
      </c>
      <c r="C90">
        <v>9711</v>
      </c>
      <c r="D90">
        <v>22.9</v>
      </c>
      <c r="E90">
        <v>44.3</v>
      </c>
      <c r="F90">
        <v>32.700000000000003</v>
      </c>
      <c r="G90">
        <v>30.3</v>
      </c>
      <c r="H90">
        <v>35.6</v>
      </c>
    </row>
    <row r="91" spans="1:8" x14ac:dyDescent="0.3">
      <c r="A91">
        <v>2023</v>
      </c>
      <c r="B91" t="s">
        <v>57</v>
      </c>
      <c r="C91">
        <v>11824</v>
      </c>
      <c r="D91">
        <v>2.6</v>
      </c>
      <c r="E91">
        <v>43.8</v>
      </c>
      <c r="F91">
        <v>53.5</v>
      </c>
      <c r="G91">
        <v>49.8</v>
      </c>
      <c r="H91">
        <v>58</v>
      </c>
    </row>
    <row r="92" spans="1:8" x14ac:dyDescent="0.3">
      <c r="A92">
        <v>2023</v>
      </c>
      <c r="B92" t="s">
        <v>81</v>
      </c>
      <c r="C92">
        <v>11953</v>
      </c>
      <c r="D92">
        <v>74.5</v>
      </c>
      <c r="E92">
        <v>25.5</v>
      </c>
      <c r="F92">
        <v>0</v>
      </c>
      <c r="G92">
        <v>0</v>
      </c>
      <c r="H92">
        <v>0</v>
      </c>
    </row>
    <row r="93" spans="1:8" x14ac:dyDescent="0.3">
      <c r="A93">
        <v>2024</v>
      </c>
      <c r="B93" t="s">
        <v>38</v>
      </c>
      <c r="C93">
        <v>11918</v>
      </c>
      <c r="D93">
        <v>0.1</v>
      </c>
      <c r="E93">
        <v>54.4</v>
      </c>
      <c r="F93">
        <v>45.5</v>
      </c>
      <c r="G93">
        <v>41.3</v>
      </c>
      <c r="H93">
        <v>50.6</v>
      </c>
    </row>
    <row r="94" spans="1:8" x14ac:dyDescent="0.3">
      <c r="A94">
        <v>2024</v>
      </c>
      <c r="B94" t="s">
        <v>39</v>
      </c>
      <c r="C94">
        <v>11903</v>
      </c>
      <c r="D94">
        <v>0.2</v>
      </c>
      <c r="E94">
        <v>46.2</v>
      </c>
      <c r="F94">
        <v>53.6</v>
      </c>
      <c r="G94">
        <v>51</v>
      </c>
      <c r="H94">
        <v>56.8</v>
      </c>
    </row>
    <row r="95" spans="1:8" x14ac:dyDescent="0.3">
      <c r="A95">
        <v>2024</v>
      </c>
      <c r="B95" t="s">
        <v>40</v>
      </c>
      <c r="C95">
        <v>11888</v>
      </c>
      <c r="D95">
        <v>2.1</v>
      </c>
      <c r="E95">
        <v>47</v>
      </c>
      <c r="F95">
        <v>50.9</v>
      </c>
      <c r="G95">
        <v>48.2</v>
      </c>
      <c r="H95">
        <v>54.2</v>
      </c>
    </row>
    <row r="96" spans="1:8" x14ac:dyDescent="0.3">
      <c r="A96">
        <v>2024</v>
      </c>
      <c r="B96" t="s">
        <v>41</v>
      </c>
      <c r="C96">
        <v>11626</v>
      </c>
      <c r="D96">
        <v>0.2</v>
      </c>
      <c r="E96">
        <v>63</v>
      </c>
      <c r="F96">
        <v>36.799999999999997</v>
      </c>
      <c r="G96">
        <v>33.1</v>
      </c>
      <c r="H96">
        <v>41.4</v>
      </c>
    </row>
    <row r="97" spans="1:8" x14ac:dyDescent="0.3">
      <c r="A97">
        <v>2024</v>
      </c>
      <c r="B97" t="s">
        <v>42</v>
      </c>
      <c r="C97">
        <v>9804</v>
      </c>
      <c r="D97">
        <v>1.3</v>
      </c>
      <c r="E97">
        <v>35.799999999999997</v>
      </c>
      <c r="F97">
        <v>62.9</v>
      </c>
      <c r="G97">
        <v>60.3</v>
      </c>
      <c r="H97">
        <v>66</v>
      </c>
    </row>
    <row r="98" spans="1:8" x14ac:dyDescent="0.3">
      <c r="A98">
        <v>2024</v>
      </c>
      <c r="B98" t="s">
        <v>44</v>
      </c>
      <c r="C98">
        <v>11646</v>
      </c>
      <c r="D98">
        <v>0.2</v>
      </c>
      <c r="E98">
        <v>61.4</v>
      </c>
      <c r="F98">
        <v>38.4</v>
      </c>
      <c r="G98">
        <v>35.1</v>
      </c>
      <c r="H98">
        <v>42.5</v>
      </c>
    </row>
    <row r="99" spans="1:8" x14ac:dyDescent="0.3">
      <c r="A99">
        <v>2024</v>
      </c>
      <c r="B99" t="s">
        <v>55</v>
      </c>
      <c r="C99">
        <v>10153</v>
      </c>
      <c r="D99">
        <v>21.3</v>
      </c>
      <c r="E99">
        <v>47.5</v>
      </c>
      <c r="F99">
        <v>31.2</v>
      </c>
      <c r="G99">
        <v>29.4</v>
      </c>
      <c r="H99">
        <v>33.4</v>
      </c>
    </row>
    <row r="100" spans="1:8" x14ac:dyDescent="0.3">
      <c r="A100">
        <v>2024</v>
      </c>
      <c r="B100" t="s">
        <v>56</v>
      </c>
      <c r="C100">
        <v>10238</v>
      </c>
      <c r="D100">
        <v>26.6</v>
      </c>
      <c r="E100">
        <v>42.7</v>
      </c>
      <c r="F100">
        <v>30.7</v>
      </c>
      <c r="G100">
        <v>28.1</v>
      </c>
      <c r="H100">
        <v>33.799999999999997</v>
      </c>
    </row>
    <row r="101" spans="1:8" x14ac:dyDescent="0.3">
      <c r="A101">
        <v>2024</v>
      </c>
      <c r="B101" t="s">
        <v>57</v>
      </c>
      <c r="C101">
        <v>11727</v>
      </c>
      <c r="D101">
        <v>2.6</v>
      </c>
      <c r="E101">
        <v>44.4</v>
      </c>
      <c r="F101">
        <v>53</v>
      </c>
      <c r="G101">
        <v>49.5</v>
      </c>
      <c r="H101">
        <v>57.3</v>
      </c>
    </row>
    <row r="102" spans="1:8" x14ac:dyDescent="0.3">
      <c r="A102">
        <v>2024</v>
      </c>
      <c r="B102" t="s">
        <v>81</v>
      </c>
      <c r="C102">
        <v>11931</v>
      </c>
      <c r="D102">
        <v>74.099999999999994</v>
      </c>
      <c r="E102">
        <v>25.9</v>
      </c>
      <c r="F102">
        <v>0</v>
      </c>
      <c r="G102">
        <v>0</v>
      </c>
      <c r="H10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4541-D5B4-48F7-9E3B-83FE2BD8030E}">
  <dimension ref="A1:P472"/>
  <sheetViews>
    <sheetView topLeftCell="A401" workbookViewId="0">
      <selection activeCell="B26" sqref="B26"/>
    </sheetView>
  </sheetViews>
  <sheetFormatPr defaultRowHeight="14.4" x14ac:dyDescent="0.3"/>
  <cols>
    <col min="1" max="1" width="6.21875" bestFit="1" customWidth="1"/>
    <col min="2" max="2" width="46.21875" bestFit="1" customWidth="1"/>
    <col min="3" max="3" width="12.21875" bestFit="1" customWidth="1"/>
    <col min="4" max="4" width="23.77734375" bestFit="1" customWidth="1"/>
    <col min="5" max="13" width="10.44140625" bestFit="1" customWidth="1"/>
    <col min="14" max="14" width="11.44140625" bestFit="1" customWidth="1"/>
    <col min="15" max="15" width="25.88671875" bestFit="1" customWidth="1"/>
    <col min="16" max="16" width="25.5546875" bestFit="1" customWidth="1"/>
  </cols>
  <sheetData>
    <row r="1" spans="1:16" x14ac:dyDescent="0.3">
      <c r="A1" t="s">
        <v>132</v>
      </c>
      <c r="B1" t="s">
        <v>133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227</v>
      </c>
    </row>
    <row r="2" spans="1:16" x14ac:dyDescent="0.3">
      <c r="A2">
        <v>2021</v>
      </c>
      <c r="B2" t="s">
        <v>118</v>
      </c>
      <c r="C2" t="s">
        <v>224</v>
      </c>
      <c r="D2">
        <v>11927</v>
      </c>
      <c r="E2">
        <v>0.1</v>
      </c>
      <c r="F2">
        <v>0.1</v>
      </c>
      <c r="G2">
        <v>0.3</v>
      </c>
      <c r="H2">
        <v>2.5</v>
      </c>
      <c r="I2">
        <v>5.5</v>
      </c>
      <c r="J2">
        <v>9.1</v>
      </c>
      <c r="K2">
        <v>20.5</v>
      </c>
      <c r="L2">
        <v>28.7</v>
      </c>
      <c r="M2">
        <v>17</v>
      </c>
      <c r="N2">
        <v>16.2</v>
      </c>
      <c r="O2">
        <v>0.2</v>
      </c>
      <c r="P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7.8140000000000001</v>
      </c>
    </row>
    <row r="3" spans="1:16" x14ac:dyDescent="0.3">
      <c r="A3">
        <v>2021</v>
      </c>
      <c r="B3" t="s">
        <v>118</v>
      </c>
      <c r="C3" t="s">
        <v>225</v>
      </c>
      <c r="D3">
        <v>6644</v>
      </c>
      <c r="E3">
        <v>0.1</v>
      </c>
      <c r="F3">
        <v>0.1</v>
      </c>
      <c r="G3">
        <v>0.3</v>
      </c>
      <c r="H3">
        <v>2.7</v>
      </c>
      <c r="I3">
        <v>6.5</v>
      </c>
      <c r="J3">
        <v>11.1</v>
      </c>
      <c r="K3">
        <v>21.4</v>
      </c>
      <c r="L3">
        <v>28.1</v>
      </c>
      <c r="M3">
        <v>15.8</v>
      </c>
      <c r="N3">
        <v>13.9</v>
      </c>
      <c r="O3">
        <v>0.3</v>
      </c>
      <c r="P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7.6689999999999996</v>
      </c>
    </row>
    <row r="4" spans="1:16" x14ac:dyDescent="0.3">
      <c r="A4">
        <v>2021</v>
      </c>
      <c r="B4" t="s">
        <v>118</v>
      </c>
      <c r="C4" t="s">
        <v>226</v>
      </c>
      <c r="D4">
        <v>5283</v>
      </c>
      <c r="E4">
        <v>0</v>
      </c>
      <c r="F4">
        <v>0.1</v>
      </c>
      <c r="G4">
        <v>0.2</v>
      </c>
      <c r="H4">
        <v>2.4</v>
      </c>
      <c r="I4">
        <v>4.3</v>
      </c>
      <c r="J4">
        <v>6.5</v>
      </c>
      <c r="K4">
        <v>19.399999999999999</v>
      </c>
      <c r="L4">
        <v>29.5</v>
      </c>
      <c r="M4">
        <v>18.5</v>
      </c>
      <c r="N4">
        <v>19.2</v>
      </c>
      <c r="O4">
        <v>0.1</v>
      </c>
      <c r="P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8.0120000000000005</v>
      </c>
    </row>
    <row r="5" spans="1:16" x14ac:dyDescent="0.3">
      <c r="A5">
        <v>2021</v>
      </c>
      <c r="B5" t="s">
        <v>126</v>
      </c>
      <c r="C5" t="s">
        <v>224</v>
      </c>
      <c r="D5">
        <v>11928</v>
      </c>
      <c r="E5">
        <v>0.1</v>
      </c>
      <c r="F5">
        <v>0.2</v>
      </c>
      <c r="G5">
        <v>0.9</v>
      </c>
      <c r="H5">
        <v>3.2</v>
      </c>
      <c r="I5">
        <v>7.1</v>
      </c>
      <c r="J5">
        <v>10.6</v>
      </c>
      <c r="K5">
        <v>22.3</v>
      </c>
      <c r="L5">
        <v>27.2</v>
      </c>
      <c r="M5">
        <v>15.8</v>
      </c>
      <c r="N5">
        <v>12.6</v>
      </c>
      <c r="O5">
        <v>0.2</v>
      </c>
      <c r="P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7.57</v>
      </c>
    </row>
    <row r="6" spans="1:16" x14ac:dyDescent="0.3">
      <c r="A6">
        <v>2021</v>
      </c>
      <c r="B6" t="s">
        <v>126</v>
      </c>
      <c r="C6" t="s">
        <v>225</v>
      </c>
      <c r="D6">
        <v>6646</v>
      </c>
      <c r="E6">
        <v>0.1</v>
      </c>
      <c r="F6">
        <v>0.3</v>
      </c>
      <c r="G6">
        <v>1</v>
      </c>
      <c r="H6">
        <v>3.5</v>
      </c>
      <c r="I6">
        <v>8.1999999999999993</v>
      </c>
      <c r="J6">
        <v>12</v>
      </c>
      <c r="K6">
        <v>23.3</v>
      </c>
      <c r="L6">
        <v>26.7</v>
      </c>
      <c r="M6">
        <v>14.1</v>
      </c>
      <c r="N6">
        <v>10.9</v>
      </c>
      <c r="O6">
        <v>0.3</v>
      </c>
      <c r="P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7.4329999999999998</v>
      </c>
    </row>
    <row r="7" spans="1:16" x14ac:dyDescent="0.3">
      <c r="A7">
        <v>2021</v>
      </c>
      <c r="B7" t="s">
        <v>126</v>
      </c>
      <c r="C7" t="s">
        <v>226</v>
      </c>
      <c r="D7">
        <v>5282</v>
      </c>
      <c r="E7">
        <v>0</v>
      </c>
      <c r="F7">
        <v>0.1</v>
      </c>
      <c r="G7">
        <v>0.9</v>
      </c>
      <c r="H7">
        <v>2.9</v>
      </c>
      <c r="I7">
        <v>5.8</v>
      </c>
      <c r="J7">
        <v>8.9</v>
      </c>
      <c r="K7">
        <v>21</v>
      </c>
      <c r="L7">
        <v>27.9</v>
      </c>
      <c r="M7">
        <v>17.899999999999999</v>
      </c>
      <c r="N7">
        <v>14.7</v>
      </c>
      <c r="O7">
        <v>0.2</v>
      </c>
      <c r="P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7.7519999999999989</v>
      </c>
    </row>
    <row r="8" spans="1:16" x14ac:dyDescent="0.3">
      <c r="A8">
        <v>2021</v>
      </c>
      <c r="B8" t="s">
        <v>127</v>
      </c>
      <c r="C8" t="s">
        <v>224</v>
      </c>
      <c r="D8">
        <v>11920</v>
      </c>
      <c r="E8">
        <v>0.4</v>
      </c>
      <c r="F8">
        <v>0.5</v>
      </c>
      <c r="G8">
        <v>2.6</v>
      </c>
      <c r="H8">
        <v>5.9</v>
      </c>
      <c r="I8">
        <v>9.4</v>
      </c>
      <c r="J8">
        <v>11.4</v>
      </c>
      <c r="K8">
        <v>20.100000000000001</v>
      </c>
      <c r="L8">
        <v>24.9</v>
      </c>
      <c r="M8">
        <v>14.9</v>
      </c>
      <c r="N8">
        <v>9.9</v>
      </c>
      <c r="O8">
        <v>0.3</v>
      </c>
      <c r="P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7.2120000000000006</v>
      </c>
    </row>
    <row r="9" spans="1:16" x14ac:dyDescent="0.3">
      <c r="A9">
        <v>2021</v>
      </c>
      <c r="B9" t="s">
        <v>127</v>
      </c>
      <c r="C9" t="s">
        <v>225</v>
      </c>
      <c r="D9">
        <v>6643</v>
      </c>
      <c r="E9">
        <v>0.4</v>
      </c>
      <c r="F9">
        <v>0.7</v>
      </c>
      <c r="G9">
        <v>2.9</v>
      </c>
      <c r="H9">
        <v>6.4</v>
      </c>
      <c r="I9">
        <v>9.6999999999999993</v>
      </c>
      <c r="J9">
        <v>12.8</v>
      </c>
      <c r="K9">
        <v>20.399999999999999</v>
      </c>
      <c r="L9">
        <v>24.3</v>
      </c>
      <c r="M9">
        <v>13.8</v>
      </c>
      <c r="N9">
        <v>8.8000000000000007</v>
      </c>
      <c r="O9">
        <v>0.3</v>
      </c>
      <c r="P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7.1079999999999997</v>
      </c>
    </row>
    <row r="10" spans="1:16" x14ac:dyDescent="0.3">
      <c r="A10">
        <v>2021</v>
      </c>
      <c r="B10" t="s">
        <v>127</v>
      </c>
      <c r="C10" t="s">
        <v>226</v>
      </c>
      <c r="D10">
        <v>5277</v>
      </c>
      <c r="E10">
        <v>0.3</v>
      </c>
      <c r="F10">
        <v>0.2</v>
      </c>
      <c r="G10">
        <v>2.2999999999999998</v>
      </c>
      <c r="H10">
        <v>5.0999999999999996</v>
      </c>
      <c r="I10">
        <v>9.1</v>
      </c>
      <c r="J10">
        <v>9.8000000000000007</v>
      </c>
      <c r="K10">
        <v>19.7</v>
      </c>
      <c r="L10">
        <v>25.7</v>
      </c>
      <c r="M10">
        <v>16.2</v>
      </c>
      <c r="N10">
        <v>11.4</v>
      </c>
      <c r="O10">
        <v>0.2</v>
      </c>
      <c r="P1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7.355999999999999</v>
      </c>
    </row>
    <row r="11" spans="1:16" x14ac:dyDescent="0.3">
      <c r="A11">
        <v>2021</v>
      </c>
      <c r="B11" t="s">
        <v>128</v>
      </c>
      <c r="C11" t="s">
        <v>224</v>
      </c>
      <c r="D11">
        <v>11629</v>
      </c>
      <c r="E11">
        <v>0</v>
      </c>
      <c r="F11">
        <v>0.1</v>
      </c>
      <c r="G11">
        <v>0.4</v>
      </c>
      <c r="H11">
        <v>7.2</v>
      </c>
      <c r="I11">
        <v>11.1</v>
      </c>
      <c r="J11">
        <v>15</v>
      </c>
      <c r="K11">
        <v>25.5</v>
      </c>
      <c r="L11">
        <v>22.3</v>
      </c>
      <c r="M11">
        <v>11.3</v>
      </c>
      <c r="N11">
        <v>7.2</v>
      </c>
      <c r="O11">
        <v>2.7</v>
      </c>
      <c r="P1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7.0629999999999997</v>
      </c>
    </row>
    <row r="12" spans="1:16" x14ac:dyDescent="0.3">
      <c r="A12">
        <v>2021</v>
      </c>
      <c r="B12" t="s">
        <v>128</v>
      </c>
      <c r="C12" t="s">
        <v>225</v>
      </c>
      <c r="D12">
        <v>6485</v>
      </c>
      <c r="E12">
        <v>0</v>
      </c>
      <c r="F12">
        <v>0.1</v>
      </c>
      <c r="G12">
        <v>0.4</v>
      </c>
      <c r="H12">
        <v>8.1</v>
      </c>
      <c r="I12">
        <v>11.8</v>
      </c>
      <c r="J12">
        <v>16.399999999999999</v>
      </c>
      <c r="K12">
        <v>25.8</v>
      </c>
      <c r="L12">
        <v>21.1</v>
      </c>
      <c r="M12">
        <v>10.1</v>
      </c>
      <c r="N12">
        <v>6.1</v>
      </c>
      <c r="O12">
        <v>2.7</v>
      </c>
      <c r="P1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6.9250000000000007</v>
      </c>
    </row>
    <row r="13" spans="1:16" x14ac:dyDescent="0.3">
      <c r="A13">
        <v>2021</v>
      </c>
      <c r="B13" t="s">
        <v>128</v>
      </c>
      <c r="C13" t="s">
        <v>226</v>
      </c>
      <c r="D13">
        <v>5144</v>
      </c>
      <c r="E13">
        <v>0</v>
      </c>
      <c r="F13">
        <v>0.1</v>
      </c>
      <c r="G13">
        <v>0.4</v>
      </c>
      <c r="H13">
        <v>6.1</v>
      </c>
      <c r="I13">
        <v>10.1</v>
      </c>
      <c r="J13">
        <v>13.2</v>
      </c>
      <c r="K13">
        <v>25.1</v>
      </c>
      <c r="L13">
        <v>23.9</v>
      </c>
      <c r="M13">
        <v>12.7</v>
      </c>
      <c r="N13">
        <v>8.5</v>
      </c>
      <c r="O13">
        <v>2.8</v>
      </c>
      <c r="P1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7.2169999999999996</v>
      </c>
    </row>
    <row r="14" spans="1:16" x14ac:dyDescent="0.3">
      <c r="A14">
        <v>2021</v>
      </c>
      <c r="B14" t="s">
        <v>140</v>
      </c>
      <c r="C14" t="s">
        <v>224</v>
      </c>
      <c r="D14">
        <v>10257</v>
      </c>
      <c r="E14">
        <v>0.1</v>
      </c>
      <c r="F14">
        <v>0.1</v>
      </c>
      <c r="G14">
        <v>1.2</v>
      </c>
      <c r="H14">
        <v>3.2</v>
      </c>
      <c r="I14">
        <v>6.1</v>
      </c>
      <c r="J14">
        <v>7.8</v>
      </c>
      <c r="K14">
        <v>18.3</v>
      </c>
      <c r="L14">
        <v>30.9</v>
      </c>
      <c r="M14">
        <v>15.9</v>
      </c>
      <c r="N14">
        <v>16.5</v>
      </c>
      <c r="O14">
        <v>14.2</v>
      </c>
      <c r="P1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7.7739999999999991</v>
      </c>
    </row>
    <row r="15" spans="1:16" x14ac:dyDescent="0.3">
      <c r="A15">
        <v>2021</v>
      </c>
      <c r="B15" t="s">
        <v>140</v>
      </c>
      <c r="C15" t="s">
        <v>225</v>
      </c>
      <c r="D15">
        <v>5696</v>
      </c>
      <c r="E15">
        <v>0</v>
      </c>
      <c r="F15">
        <v>0.1</v>
      </c>
      <c r="G15">
        <v>1.3</v>
      </c>
      <c r="H15">
        <v>3.7</v>
      </c>
      <c r="I15">
        <v>6.4</v>
      </c>
      <c r="J15">
        <v>8.4</v>
      </c>
      <c r="K15">
        <v>19.2</v>
      </c>
      <c r="L15">
        <v>30.7</v>
      </c>
      <c r="M15">
        <v>15.2</v>
      </c>
      <c r="N15">
        <v>15</v>
      </c>
      <c r="O15">
        <v>14.5</v>
      </c>
      <c r="P1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7.6810000000000009</v>
      </c>
    </row>
    <row r="16" spans="1:16" x14ac:dyDescent="0.3">
      <c r="A16">
        <v>2021</v>
      </c>
      <c r="B16" t="s">
        <v>140</v>
      </c>
      <c r="C16" t="s">
        <v>226</v>
      </c>
      <c r="D16">
        <v>4561</v>
      </c>
      <c r="E16">
        <v>0.1</v>
      </c>
      <c r="F16">
        <v>0.1</v>
      </c>
      <c r="G16">
        <v>1</v>
      </c>
      <c r="H16">
        <v>2.6</v>
      </c>
      <c r="I16">
        <v>5.6</v>
      </c>
      <c r="J16">
        <v>6.9</v>
      </c>
      <c r="K16">
        <v>17.3</v>
      </c>
      <c r="L16">
        <v>31.1</v>
      </c>
      <c r="M16">
        <v>16.899999999999999</v>
      </c>
      <c r="N16">
        <v>18.399999999999999</v>
      </c>
      <c r="O16">
        <v>13.8</v>
      </c>
      <c r="P1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7.891</v>
      </c>
    </row>
    <row r="17" spans="1:16" x14ac:dyDescent="0.3">
      <c r="A17">
        <v>2021</v>
      </c>
      <c r="B17" t="s">
        <v>129</v>
      </c>
      <c r="C17" t="s">
        <v>224</v>
      </c>
      <c r="D17">
        <v>11683</v>
      </c>
      <c r="E17">
        <v>0.3</v>
      </c>
      <c r="F17">
        <v>0.2</v>
      </c>
      <c r="G17">
        <v>0.8</v>
      </c>
      <c r="H17">
        <v>5.6</v>
      </c>
      <c r="I17">
        <v>9.1</v>
      </c>
      <c r="J17">
        <v>14.4</v>
      </c>
      <c r="K17">
        <v>24.3</v>
      </c>
      <c r="L17">
        <v>24.7</v>
      </c>
      <c r="M17">
        <v>13.2</v>
      </c>
      <c r="N17">
        <v>7.3</v>
      </c>
      <c r="O17">
        <v>2.2999999999999998</v>
      </c>
      <c r="P1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7.1689999999999987</v>
      </c>
    </row>
    <row r="18" spans="1:16" x14ac:dyDescent="0.3">
      <c r="A18">
        <v>2021</v>
      </c>
      <c r="B18" t="s">
        <v>129</v>
      </c>
      <c r="C18" t="s">
        <v>225</v>
      </c>
      <c r="D18">
        <v>6511</v>
      </c>
      <c r="E18">
        <v>0.2</v>
      </c>
      <c r="F18">
        <v>0.3</v>
      </c>
      <c r="G18">
        <v>1</v>
      </c>
      <c r="H18">
        <v>6.2</v>
      </c>
      <c r="I18">
        <v>9.6</v>
      </c>
      <c r="J18">
        <v>15.6</v>
      </c>
      <c r="K18">
        <v>24.4</v>
      </c>
      <c r="L18">
        <v>24</v>
      </c>
      <c r="M18">
        <v>12.1</v>
      </c>
      <c r="N18">
        <v>6.6</v>
      </c>
      <c r="O18">
        <v>2.2999999999999998</v>
      </c>
      <c r="P1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7.0790000000000006</v>
      </c>
    </row>
    <row r="19" spans="1:16" x14ac:dyDescent="0.3">
      <c r="A19">
        <v>2021</v>
      </c>
      <c r="B19" t="s">
        <v>129</v>
      </c>
      <c r="C19" t="s">
        <v>226</v>
      </c>
      <c r="D19">
        <v>5172</v>
      </c>
      <c r="E19">
        <v>0.3</v>
      </c>
      <c r="F19">
        <v>0.2</v>
      </c>
      <c r="G19">
        <v>0.7</v>
      </c>
      <c r="H19">
        <v>4.8</v>
      </c>
      <c r="I19">
        <v>8.5</v>
      </c>
      <c r="J19">
        <v>12.9</v>
      </c>
      <c r="K19">
        <v>24.2</v>
      </c>
      <c r="L19">
        <v>25.5</v>
      </c>
      <c r="M19">
        <v>14.6</v>
      </c>
      <c r="N19">
        <v>8.3000000000000007</v>
      </c>
      <c r="O19">
        <v>2.2000000000000002</v>
      </c>
      <c r="P1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7.2970000000000006</v>
      </c>
    </row>
    <row r="20" spans="1:16" x14ac:dyDescent="0.3">
      <c r="A20">
        <v>2021</v>
      </c>
      <c r="B20" t="s">
        <v>141</v>
      </c>
      <c r="C20" t="s">
        <v>224</v>
      </c>
      <c r="D20">
        <v>11847</v>
      </c>
      <c r="E20">
        <v>0.1</v>
      </c>
      <c r="F20">
        <v>0.2</v>
      </c>
      <c r="G20">
        <v>0.4</v>
      </c>
      <c r="H20">
        <v>1.7</v>
      </c>
      <c r="I20">
        <v>4.0999999999999996</v>
      </c>
      <c r="J20">
        <v>6.3</v>
      </c>
      <c r="K20">
        <v>16.5</v>
      </c>
      <c r="L20">
        <v>28.4</v>
      </c>
      <c r="M20">
        <v>18.100000000000001</v>
      </c>
      <c r="N20">
        <v>24.1</v>
      </c>
      <c r="O20">
        <v>0.9</v>
      </c>
      <c r="P2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8.1340000000000003</v>
      </c>
    </row>
    <row r="21" spans="1:16" x14ac:dyDescent="0.3">
      <c r="A21">
        <v>2021</v>
      </c>
      <c r="B21" t="s">
        <v>141</v>
      </c>
      <c r="C21" t="s">
        <v>225</v>
      </c>
      <c r="D21">
        <v>6597</v>
      </c>
      <c r="E21">
        <v>0.1</v>
      </c>
      <c r="F21">
        <v>0.2</v>
      </c>
      <c r="G21">
        <v>0.5</v>
      </c>
      <c r="H21">
        <v>1.9</v>
      </c>
      <c r="I21">
        <v>4.7</v>
      </c>
      <c r="J21">
        <v>7.2</v>
      </c>
      <c r="K21">
        <v>18.2</v>
      </c>
      <c r="L21">
        <v>28.3</v>
      </c>
      <c r="M21">
        <v>17.3</v>
      </c>
      <c r="N21">
        <v>21.6</v>
      </c>
      <c r="O21">
        <v>1</v>
      </c>
      <c r="P2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8.0180000000000007</v>
      </c>
    </row>
    <row r="22" spans="1:16" x14ac:dyDescent="0.3">
      <c r="A22">
        <v>2021</v>
      </c>
      <c r="B22" t="s">
        <v>141</v>
      </c>
      <c r="C22" t="s">
        <v>226</v>
      </c>
      <c r="D22">
        <v>5250</v>
      </c>
      <c r="E22">
        <v>0.1</v>
      </c>
      <c r="F22">
        <v>0.1</v>
      </c>
      <c r="G22">
        <v>0.2</v>
      </c>
      <c r="H22">
        <v>1.5</v>
      </c>
      <c r="I22">
        <v>3.4</v>
      </c>
      <c r="J22">
        <v>5.3</v>
      </c>
      <c r="K22">
        <v>14.3</v>
      </c>
      <c r="L22">
        <v>28.6</v>
      </c>
      <c r="M22">
        <v>19.2</v>
      </c>
      <c r="N22">
        <v>27.3</v>
      </c>
      <c r="O22">
        <v>0.8</v>
      </c>
      <c r="P2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8.3040000000000003</v>
      </c>
    </row>
    <row r="23" spans="1:16" x14ac:dyDescent="0.3">
      <c r="A23">
        <v>2021</v>
      </c>
      <c r="B23" t="s">
        <v>142</v>
      </c>
      <c r="C23" t="s">
        <v>224</v>
      </c>
      <c r="D23">
        <v>11205</v>
      </c>
      <c r="E23">
        <v>1.5</v>
      </c>
      <c r="F23">
        <v>1.1000000000000001</v>
      </c>
      <c r="G23">
        <v>3.8</v>
      </c>
      <c r="H23">
        <v>6.2</v>
      </c>
      <c r="I23">
        <v>10.7</v>
      </c>
      <c r="J23">
        <v>13.2</v>
      </c>
      <c r="K23">
        <v>20.3</v>
      </c>
      <c r="L23">
        <v>22.1</v>
      </c>
      <c r="M23">
        <v>12.1</v>
      </c>
      <c r="N23">
        <v>8.9</v>
      </c>
      <c r="O23">
        <v>6.3</v>
      </c>
      <c r="P2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6.8939999999999992</v>
      </c>
    </row>
    <row r="24" spans="1:16" x14ac:dyDescent="0.3">
      <c r="A24">
        <v>2021</v>
      </c>
      <c r="B24" t="s">
        <v>142</v>
      </c>
      <c r="C24" t="s">
        <v>225</v>
      </c>
      <c r="D24">
        <v>6248</v>
      </c>
      <c r="E24">
        <v>1.5</v>
      </c>
      <c r="F24">
        <v>1.3</v>
      </c>
      <c r="G24">
        <v>4.5999999999999996</v>
      </c>
      <c r="H24">
        <v>7.3</v>
      </c>
      <c r="I24">
        <v>11.6</v>
      </c>
      <c r="J24">
        <v>14.5</v>
      </c>
      <c r="K24">
        <v>20.7</v>
      </c>
      <c r="L24">
        <v>20.6</v>
      </c>
      <c r="M24">
        <v>10.4</v>
      </c>
      <c r="N24">
        <v>7.6</v>
      </c>
      <c r="O24">
        <v>6.2</v>
      </c>
      <c r="P2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6.7140000000000004</v>
      </c>
    </row>
    <row r="25" spans="1:16" x14ac:dyDescent="0.3">
      <c r="A25">
        <v>2021</v>
      </c>
      <c r="B25" t="s">
        <v>142</v>
      </c>
      <c r="C25" t="s">
        <v>226</v>
      </c>
      <c r="D25">
        <v>4957</v>
      </c>
      <c r="E25">
        <v>1.4</v>
      </c>
      <c r="F25">
        <v>0.9</v>
      </c>
      <c r="G25">
        <v>2.8</v>
      </c>
      <c r="H25">
        <v>5</v>
      </c>
      <c r="I25">
        <v>9.6999999999999993</v>
      </c>
      <c r="J25">
        <v>11.7</v>
      </c>
      <c r="K25">
        <v>19.8</v>
      </c>
      <c r="L25">
        <v>24</v>
      </c>
      <c r="M25">
        <v>14.1</v>
      </c>
      <c r="N25">
        <v>10.7</v>
      </c>
      <c r="O25">
        <v>6.3</v>
      </c>
      <c r="P2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7.1479999999999997</v>
      </c>
    </row>
    <row r="26" spans="1:16" x14ac:dyDescent="0.3">
      <c r="A26">
        <v>2021</v>
      </c>
      <c r="B26" t="s">
        <v>143</v>
      </c>
      <c r="C26" t="s">
        <v>224</v>
      </c>
      <c r="D26">
        <v>11248</v>
      </c>
      <c r="E26">
        <v>1.7</v>
      </c>
      <c r="F26">
        <v>1.4</v>
      </c>
      <c r="G26">
        <v>4.5999999999999996</v>
      </c>
      <c r="H26">
        <v>7.3</v>
      </c>
      <c r="I26">
        <v>11.6</v>
      </c>
      <c r="J26">
        <v>15.2</v>
      </c>
      <c r="K26">
        <v>19.7</v>
      </c>
      <c r="L26">
        <v>20</v>
      </c>
      <c r="M26">
        <v>10.7</v>
      </c>
      <c r="N26">
        <v>7.8</v>
      </c>
      <c r="O26">
        <v>5.9</v>
      </c>
      <c r="P2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6.6890000000000001</v>
      </c>
    </row>
    <row r="27" spans="1:16" x14ac:dyDescent="0.3">
      <c r="A27">
        <v>2021</v>
      </c>
      <c r="B27" t="s">
        <v>143</v>
      </c>
      <c r="C27" t="s">
        <v>225</v>
      </c>
      <c r="D27">
        <v>6264</v>
      </c>
      <c r="E27">
        <v>1.9</v>
      </c>
      <c r="F27">
        <v>1.7</v>
      </c>
      <c r="G27">
        <v>5.3</v>
      </c>
      <c r="H27">
        <v>8.3000000000000007</v>
      </c>
      <c r="I27">
        <v>12.3</v>
      </c>
      <c r="J27">
        <v>16.3</v>
      </c>
      <c r="K27">
        <v>19.600000000000001</v>
      </c>
      <c r="L27">
        <v>18.3</v>
      </c>
      <c r="M27">
        <v>9.4</v>
      </c>
      <c r="N27">
        <v>6.8</v>
      </c>
      <c r="O27">
        <v>6</v>
      </c>
      <c r="P2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6.4990000000000006</v>
      </c>
    </row>
    <row r="28" spans="1:16" x14ac:dyDescent="0.3">
      <c r="A28">
        <v>2021</v>
      </c>
      <c r="B28" t="s">
        <v>143</v>
      </c>
      <c r="C28" t="s">
        <v>226</v>
      </c>
      <c r="D28">
        <v>4984</v>
      </c>
      <c r="E28">
        <v>1.4</v>
      </c>
      <c r="F28">
        <v>1.1000000000000001</v>
      </c>
      <c r="G28">
        <v>3.7</v>
      </c>
      <c r="H28">
        <v>6</v>
      </c>
      <c r="I28">
        <v>10.8</v>
      </c>
      <c r="J28">
        <v>13.8</v>
      </c>
      <c r="K28">
        <v>19.8</v>
      </c>
      <c r="L28">
        <v>22.1</v>
      </c>
      <c r="M28">
        <v>12.3</v>
      </c>
      <c r="N28">
        <v>9</v>
      </c>
      <c r="O28">
        <v>5.8</v>
      </c>
      <c r="P2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6.9160000000000004</v>
      </c>
    </row>
    <row r="29" spans="1:16" x14ac:dyDescent="0.3">
      <c r="A29">
        <v>2021</v>
      </c>
      <c r="B29" t="s">
        <v>144</v>
      </c>
      <c r="C29" t="s">
        <v>224</v>
      </c>
      <c r="D29">
        <v>11149</v>
      </c>
      <c r="E29">
        <v>1.6</v>
      </c>
      <c r="F29">
        <v>1.2</v>
      </c>
      <c r="G29">
        <v>4.0999999999999996</v>
      </c>
      <c r="H29">
        <v>6.2</v>
      </c>
      <c r="I29">
        <v>10.199999999999999</v>
      </c>
      <c r="J29">
        <v>13.3</v>
      </c>
      <c r="K29">
        <v>19.8</v>
      </c>
      <c r="L29">
        <v>21</v>
      </c>
      <c r="M29">
        <v>12.6</v>
      </c>
      <c r="N29">
        <v>10.199999999999999</v>
      </c>
      <c r="O29">
        <v>6.7</v>
      </c>
      <c r="P2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6.9390000000000001</v>
      </c>
    </row>
    <row r="30" spans="1:16" x14ac:dyDescent="0.3">
      <c r="A30">
        <v>2021</v>
      </c>
      <c r="B30" t="s">
        <v>144</v>
      </c>
      <c r="C30" t="s">
        <v>225</v>
      </c>
      <c r="D30">
        <v>6212</v>
      </c>
      <c r="E30">
        <v>1.8</v>
      </c>
      <c r="F30">
        <v>1.2</v>
      </c>
      <c r="G30">
        <v>4.9000000000000004</v>
      </c>
      <c r="H30">
        <v>7.1</v>
      </c>
      <c r="I30">
        <v>10.9</v>
      </c>
      <c r="J30">
        <v>14.3</v>
      </c>
      <c r="K30">
        <v>20.100000000000001</v>
      </c>
      <c r="L30">
        <v>19.7</v>
      </c>
      <c r="M30">
        <v>11.1</v>
      </c>
      <c r="N30">
        <v>9</v>
      </c>
      <c r="O30">
        <v>6.8</v>
      </c>
      <c r="P3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6.758</v>
      </c>
    </row>
    <row r="31" spans="1:16" x14ac:dyDescent="0.3">
      <c r="A31">
        <v>2021</v>
      </c>
      <c r="B31" t="s">
        <v>144</v>
      </c>
      <c r="C31" t="s">
        <v>226</v>
      </c>
      <c r="D31">
        <v>4937</v>
      </c>
      <c r="E31">
        <v>1.3</v>
      </c>
      <c r="F31">
        <v>1.1000000000000001</v>
      </c>
      <c r="G31">
        <v>3.2</v>
      </c>
      <c r="H31">
        <v>5.2</v>
      </c>
      <c r="I31">
        <v>9.1999999999999993</v>
      </c>
      <c r="J31">
        <v>12</v>
      </c>
      <c r="K31">
        <v>19.3</v>
      </c>
      <c r="L31">
        <v>22.6</v>
      </c>
      <c r="M31">
        <v>14.4</v>
      </c>
      <c r="N31">
        <v>11.7</v>
      </c>
      <c r="O31">
        <v>6.7</v>
      </c>
      <c r="P3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7.1440000000000001</v>
      </c>
    </row>
    <row r="32" spans="1:16" x14ac:dyDescent="0.3">
      <c r="A32">
        <v>2021</v>
      </c>
      <c r="B32" t="s">
        <v>145</v>
      </c>
      <c r="C32" t="s">
        <v>224</v>
      </c>
      <c r="D32">
        <v>11168</v>
      </c>
      <c r="E32">
        <v>2</v>
      </c>
      <c r="F32">
        <v>1.5</v>
      </c>
      <c r="G32">
        <v>4.9000000000000004</v>
      </c>
      <c r="H32">
        <v>7.9</v>
      </c>
      <c r="I32">
        <v>12.4</v>
      </c>
      <c r="J32">
        <v>13.7</v>
      </c>
      <c r="K32">
        <v>19.8</v>
      </c>
      <c r="L32">
        <v>19.2</v>
      </c>
      <c r="M32">
        <v>10</v>
      </c>
      <c r="N32">
        <v>8.5</v>
      </c>
      <c r="O32">
        <v>6.6</v>
      </c>
      <c r="P3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6.6269999999999998</v>
      </c>
    </row>
    <row r="33" spans="1:16" x14ac:dyDescent="0.3">
      <c r="A33">
        <v>2021</v>
      </c>
      <c r="B33" t="s">
        <v>145</v>
      </c>
      <c r="C33" t="s">
        <v>225</v>
      </c>
      <c r="D33">
        <v>6224</v>
      </c>
      <c r="E33">
        <v>2.2999999999999998</v>
      </c>
      <c r="F33">
        <v>1.5</v>
      </c>
      <c r="G33">
        <v>5.6</v>
      </c>
      <c r="H33">
        <v>8.9</v>
      </c>
      <c r="I33">
        <v>13.1</v>
      </c>
      <c r="J33">
        <v>14.6</v>
      </c>
      <c r="K33">
        <v>19.8</v>
      </c>
      <c r="L33">
        <v>17.899999999999999</v>
      </c>
      <c r="M33">
        <v>8.6999999999999993</v>
      </c>
      <c r="N33">
        <v>7.6</v>
      </c>
      <c r="O33">
        <v>6.6</v>
      </c>
      <c r="P3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6.4689999999999994</v>
      </c>
    </row>
    <row r="34" spans="1:16" x14ac:dyDescent="0.3">
      <c r="A34">
        <v>2021</v>
      </c>
      <c r="B34" t="s">
        <v>145</v>
      </c>
      <c r="C34" t="s">
        <v>226</v>
      </c>
      <c r="D34">
        <v>4944</v>
      </c>
      <c r="E34">
        <v>1.7</v>
      </c>
      <c r="F34">
        <v>1.6</v>
      </c>
      <c r="G34">
        <v>4.0999999999999996</v>
      </c>
      <c r="H34">
        <v>6.7</v>
      </c>
      <c r="I34">
        <v>11.4</v>
      </c>
      <c r="J34">
        <v>12.6</v>
      </c>
      <c r="K34">
        <v>19.8</v>
      </c>
      <c r="L34">
        <v>20.9</v>
      </c>
      <c r="M34">
        <v>11.7</v>
      </c>
      <c r="N34">
        <v>9.6</v>
      </c>
      <c r="O34">
        <v>6.5</v>
      </c>
      <c r="P3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6.8369999999999997</v>
      </c>
    </row>
    <row r="35" spans="1:16" x14ac:dyDescent="0.3">
      <c r="A35">
        <v>2021</v>
      </c>
      <c r="B35" t="s">
        <v>146</v>
      </c>
      <c r="C35" t="s">
        <v>224</v>
      </c>
      <c r="D35">
        <v>10718</v>
      </c>
      <c r="E35">
        <v>2.1</v>
      </c>
      <c r="F35">
        <v>1.3</v>
      </c>
      <c r="G35">
        <v>4.2</v>
      </c>
      <c r="H35">
        <v>6.8</v>
      </c>
      <c r="I35">
        <v>11</v>
      </c>
      <c r="J35">
        <v>12.7</v>
      </c>
      <c r="K35">
        <v>19.100000000000001</v>
      </c>
      <c r="L35">
        <v>20.2</v>
      </c>
      <c r="M35">
        <v>12.2</v>
      </c>
      <c r="N35">
        <v>10.5</v>
      </c>
      <c r="O35">
        <v>10.3</v>
      </c>
      <c r="P3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6.8579999999999997</v>
      </c>
    </row>
    <row r="36" spans="1:16" x14ac:dyDescent="0.3">
      <c r="A36">
        <v>2021</v>
      </c>
      <c r="B36" t="s">
        <v>146</v>
      </c>
      <c r="C36" t="s">
        <v>225</v>
      </c>
      <c r="D36">
        <v>5964</v>
      </c>
      <c r="E36">
        <v>2.2999999999999998</v>
      </c>
      <c r="F36">
        <v>1.4</v>
      </c>
      <c r="G36">
        <v>4.5999999999999996</v>
      </c>
      <c r="H36">
        <v>7.6</v>
      </c>
      <c r="I36">
        <v>11.9</v>
      </c>
      <c r="J36">
        <v>13.3</v>
      </c>
      <c r="K36">
        <v>19.3</v>
      </c>
      <c r="L36">
        <v>19.100000000000001</v>
      </c>
      <c r="M36">
        <v>11</v>
      </c>
      <c r="N36">
        <v>9.4</v>
      </c>
      <c r="O36">
        <v>10.5</v>
      </c>
      <c r="P3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6.6950000000000003</v>
      </c>
    </row>
    <row r="37" spans="1:16" x14ac:dyDescent="0.3">
      <c r="A37">
        <v>2021</v>
      </c>
      <c r="B37" t="s">
        <v>146</v>
      </c>
      <c r="C37" t="s">
        <v>226</v>
      </c>
      <c r="D37">
        <v>4754</v>
      </c>
      <c r="E37">
        <v>1.9</v>
      </c>
      <c r="F37">
        <v>1.1000000000000001</v>
      </c>
      <c r="G37">
        <v>3.7</v>
      </c>
      <c r="H37">
        <v>5.7</v>
      </c>
      <c r="I37">
        <v>10</v>
      </c>
      <c r="J37">
        <v>11.9</v>
      </c>
      <c r="K37">
        <v>18.7</v>
      </c>
      <c r="L37">
        <v>21.6</v>
      </c>
      <c r="M37">
        <v>13.6</v>
      </c>
      <c r="N37">
        <v>11.8</v>
      </c>
      <c r="O37">
        <v>10.1</v>
      </c>
      <c r="P3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7.0350000000000001</v>
      </c>
    </row>
    <row r="38" spans="1:16" x14ac:dyDescent="0.3">
      <c r="A38">
        <v>2021</v>
      </c>
      <c r="B38" t="s">
        <v>147</v>
      </c>
      <c r="C38" t="s">
        <v>224</v>
      </c>
      <c r="D38">
        <v>10905</v>
      </c>
      <c r="E38">
        <v>1.2</v>
      </c>
      <c r="F38">
        <v>0.8</v>
      </c>
      <c r="G38">
        <v>2.6</v>
      </c>
      <c r="H38">
        <v>5.3</v>
      </c>
      <c r="I38">
        <v>8.6999999999999993</v>
      </c>
      <c r="J38">
        <v>11</v>
      </c>
      <c r="K38">
        <v>17.399999999999999</v>
      </c>
      <c r="L38">
        <v>21.9</v>
      </c>
      <c r="M38">
        <v>14.9</v>
      </c>
      <c r="N38">
        <v>16.2</v>
      </c>
      <c r="O38">
        <v>8.8000000000000007</v>
      </c>
      <c r="P3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7.3439999999999994</v>
      </c>
    </row>
    <row r="39" spans="1:16" x14ac:dyDescent="0.3">
      <c r="A39">
        <v>2021</v>
      </c>
      <c r="B39" t="s">
        <v>147</v>
      </c>
      <c r="C39" t="s">
        <v>225</v>
      </c>
      <c r="D39">
        <v>6079</v>
      </c>
      <c r="E39">
        <v>1.3</v>
      </c>
      <c r="F39">
        <v>0.9</v>
      </c>
      <c r="G39">
        <v>3</v>
      </c>
      <c r="H39">
        <v>6.2</v>
      </c>
      <c r="I39">
        <v>9</v>
      </c>
      <c r="J39">
        <v>11.5</v>
      </c>
      <c r="K39">
        <v>17.5</v>
      </c>
      <c r="L39">
        <v>21.5</v>
      </c>
      <c r="M39">
        <v>13.9</v>
      </c>
      <c r="N39">
        <v>15.1</v>
      </c>
      <c r="O39">
        <v>8.8000000000000007</v>
      </c>
      <c r="P3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7.2149999999999999</v>
      </c>
    </row>
    <row r="40" spans="1:16" x14ac:dyDescent="0.3">
      <c r="A40">
        <v>2021</v>
      </c>
      <c r="B40" t="s">
        <v>147</v>
      </c>
      <c r="C40" t="s">
        <v>226</v>
      </c>
      <c r="D40">
        <v>4826</v>
      </c>
      <c r="E40">
        <v>1.1000000000000001</v>
      </c>
      <c r="F40">
        <v>0.6</v>
      </c>
      <c r="G40">
        <v>2.1</v>
      </c>
      <c r="H40">
        <v>4.2</v>
      </c>
      <c r="I40">
        <v>8.4</v>
      </c>
      <c r="J40">
        <v>10.4</v>
      </c>
      <c r="K40">
        <v>17.2</v>
      </c>
      <c r="L40">
        <v>22.5</v>
      </c>
      <c r="M40">
        <v>16</v>
      </c>
      <c r="N40">
        <v>17.5</v>
      </c>
      <c r="O40">
        <v>8.8000000000000007</v>
      </c>
      <c r="P4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7.4919999999999991</v>
      </c>
    </row>
    <row r="41" spans="1:16" x14ac:dyDescent="0.3">
      <c r="A41">
        <v>2021</v>
      </c>
      <c r="B41" t="s">
        <v>130</v>
      </c>
      <c r="C41" t="s">
        <v>224</v>
      </c>
      <c r="D41">
        <v>11840</v>
      </c>
      <c r="E41">
        <v>0.3</v>
      </c>
      <c r="F41">
        <v>0.4</v>
      </c>
      <c r="G41">
        <v>1.8</v>
      </c>
      <c r="H41">
        <v>4.4000000000000004</v>
      </c>
      <c r="I41">
        <v>7.8</v>
      </c>
      <c r="J41">
        <v>10.5</v>
      </c>
      <c r="K41">
        <v>21.4</v>
      </c>
      <c r="L41">
        <v>26.9</v>
      </c>
      <c r="M41">
        <v>14.9</v>
      </c>
      <c r="N41">
        <v>11.5</v>
      </c>
      <c r="O41">
        <v>0.9</v>
      </c>
      <c r="P4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7.4019999999999992</v>
      </c>
    </row>
    <row r="42" spans="1:16" x14ac:dyDescent="0.3">
      <c r="A42">
        <v>2021</v>
      </c>
      <c r="B42" t="s">
        <v>130</v>
      </c>
      <c r="C42" t="s">
        <v>225</v>
      </c>
      <c r="D42">
        <v>6606</v>
      </c>
      <c r="E42">
        <v>0.4</v>
      </c>
      <c r="F42">
        <v>0.4</v>
      </c>
      <c r="G42">
        <v>2.1</v>
      </c>
      <c r="H42">
        <v>5.4</v>
      </c>
      <c r="I42">
        <v>8.6999999999999993</v>
      </c>
      <c r="J42">
        <v>11.6</v>
      </c>
      <c r="K42">
        <v>22.6</v>
      </c>
      <c r="L42">
        <v>25.3</v>
      </c>
      <c r="M42">
        <v>13.2</v>
      </c>
      <c r="N42">
        <v>10.199999999999999</v>
      </c>
      <c r="O42">
        <v>0.9</v>
      </c>
      <c r="P4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7.2360000000000007</v>
      </c>
    </row>
    <row r="43" spans="1:16" x14ac:dyDescent="0.3">
      <c r="A43">
        <v>2021</v>
      </c>
      <c r="B43" t="s">
        <v>130</v>
      </c>
      <c r="C43" t="s">
        <v>226</v>
      </c>
      <c r="D43">
        <v>5234</v>
      </c>
      <c r="E43">
        <v>0.2</v>
      </c>
      <c r="F43">
        <v>0.4</v>
      </c>
      <c r="G43">
        <v>1.5</v>
      </c>
      <c r="H43">
        <v>3.1</v>
      </c>
      <c r="I43">
        <v>6.7</v>
      </c>
      <c r="J43">
        <v>9.1</v>
      </c>
      <c r="K43">
        <v>19.899999999999999</v>
      </c>
      <c r="L43">
        <v>28.9</v>
      </c>
      <c r="M43">
        <v>17</v>
      </c>
      <c r="N43">
        <v>13.1</v>
      </c>
      <c r="O43">
        <v>1.1000000000000001</v>
      </c>
      <c r="P4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7.6050000000000004</v>
      </c>
    </row>
    <row r="44" spans="1:16" x14ac:dyDescent="0.3">
      <c r="A44">
        <v>2021</v>
      </c>
      <c r="B44" t="s">
        <v>119</v>
      </c>
      <c r="C44" t="s">
        <v>224</v>
      </c>
      <c r="D44">
        <v>11888</v>
      </c>
      <c r="E44">
        <v>0.3</v>
      </c>
      <c r="F44">
        <v>0.3</v>
      </c>
      <c r="G44">
        <v>2.4</v>
      </c>
      <c r="H44">
        <v>4.2</v>
      </c>
      <c r="I44">
        <v>9.1999999999999993</v>
      </c>
      <c r="J44">
        <v>11.2</v>
      </c>
      <c r="K44">
        <v>20.3</v>
      </c>
      <c r="L44">
        <v>27.1</v>
      </c>
      <c r="M44">
        <v>14</v>
      </c>
      <c r="N44">
        <v>11</v>
      </c>
      <c r="O44">
        <v>0.5</v>
      </c>
      <c r="P4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7.33</v>
      </c>
    </row>
    <row r="45" spans="1:16" x14ac:dyDescent="0.3">
      <c r="A45">
        <v>2021</v>
      </c>
      <c r="B45" t="s">
        <v>119</v>
      </c>
      <c r="C45" t="s">
        <v>225</v>
      </c>
      <c r="D45">
        <v>6627</v>
      </c>
      <c r="E45">
        <v>0.3</v>
      </c>
      <c r="F45">
        <v>0.5</v>
      </c>
      <c r="G45">
        <v>2.6</v>
      </c>
      <c r="H45">
        <v>5</v>
      </c>
      <c r="I45">
        <v>11.7</v>
      </c>
      <c r="J45">
        <v>13.2</v>
      </c>
      <c r="K45">
        <v>21.4</v>
      </c>
      <c r="L45">
        <v>25.2</v>
      </c>
      <c r="M45">
        <v>11.3</v>
      </c>
      <c r="N45">
        <v>8.6999999999999993</v>
      </c>
      <c r="O45">
        <v>0.5</v>
      </c>
      <c r="P4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7.069</v>
      </c>
    </row>
    <row r="46" spans="1:16" x14ac:dyDescent="0.3">
      <c r="A46">
        <v>2021</v>
      </c>
      <c r="B46" t="s">
        <v>119</v>
      </c>
      <c r="C46" t="s">
        <v>226</v>
      </c>
      <c r="D46">
        <v>5261</v>
      </c>
      <c r="E46">
        <v>0.2</v>
      </c>
      <c r="F46">
        <v>0.1</v>
      </c>
      <c r="G46">
        <v>2.1</v>
      </c>
      <c r="H46">
        <v>3.1</v>
      </c>
      <c r="I46">
        <v>6</v>
      </c>
      <c r="J46">
        <v>8.6999999999999993</v>
      </c>
      <c r="K46">
        <v>18.8</v>
      </c>
      <c r="L46">
        <v>29.6</v>
      </c>
      <c r="M46">
        <v>17.2</v>
      </c>
      <c r="N46">
        <v>14</v>
      </c>
      <c r="O46">
        <v>0.5</v>
      </c>
      <c r="P4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7.6449999999999996</v>
      </c>
    </row>
    <row r="47" spans="1:16" x14ac:dyDescent="0.3">
      <c r="A47">
        <v>2021</v>
      </c>
      <c r="B47" t="s">
        <v>120</v>
      </c>
      <c r="C47" t="s">
        <v>224</v>
      </c>
      <c r="D47">
        <v>11916</v>
      </c>
      <c r="E47">
        <v>1.1000000000000001</v>
      </c>
      <c r="F47">
        <v>0.8</v>
      </c>
      <c r="G47">
        <v>4.0999999999999996</v>
      </c>
      <c r="H47">
        <v>5.8</v>
      </c>
      <c r="I47">
        <v>9.6999999999999993</v>
      </c>
      <c r="J47">
        <v>12</v>
      </c>
      <c r="K47">
        <v>18.7</v>
      </c>
      <c r="L47">
        <v>25.2</v>
      </c>
      <c r="M47">
        <v>13</v>
      </c>
      <c r="N47">
        <v>9.6</v>
      </c>
      <c r="O47">
        <v>0.3</v>
      </c>
      <c r="P4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7.0419999999999998</v>
      </c>
    </row>
    <row r="48" spans="1:16" x14ac:dyDescent="0.3">
      <c r="A48">
        <v>2021</v>
      </c>
      <c r="B48" t="s">
        <v>120</v>
      </c>
      <c r="C48" t="s">
        <v>225</v>
      </c>
      <c r="D48">
        <v>6647</v>
      </c>
      <c r="E48">
        <v>1.4</v>
      </c>
      <c r="F48">
        <v>1.1000000000000001</v>
      </c>
      <c r="G48">
        <v>5.7</v>
      </c>
      <c r="H48">
        <v>7.5</v>
      </c>
      <c r="I48">
        <v>13</v>
      </c>
      <c r="J48">
        <v>15.2</v>
      </c>
      <c r="K48">
        <v>20.3</v>
      </c>
      <c r="L48">
        <v>20.8</v>
      </c>
      <c r="M48">
        <v>8.9</v>
      </c>
      <c r="N48">
        <v>6</v>
      </c>
      <c r="O48">
        <v>0.2</v>
      </c>
      <c r="P4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6.5549999999999997</v>
      </c>
    </row>
    <row r="49" spans="1:16" x14ac:dyDescent="0.3">
      <c r="A49">
        <v>2021</v>
      </c>
      <c r="B49" t="s">
        <v>120</v>
      </c>
      <c r="C49" t="s">
        <v>226</v>
      </c>
      <c r="D49">
        <v>5269</v>
      </c>
      <c r="E49">
        <v>0.6</v>
      </c>
      <c r="F49">
        <v>0.3</v>
      </c>
      <c r="G49">
        <v>2.1</v>
      </c>
      <c r="H49">
        <v>3.6</v>
      </c>
      <c r="I49">
        <v>5.7</v>
      </c>
      <c r="J49">
        <v>7.9</v>
      </c>
      <c r="K49">
        <v>16.5</v>
      </c>
      <c r="L49">
        <v>30.7</v>
      </c>
      <c r="M49">
        <v>18.3</v>
      </c>
      <c r="N49">
        <v>14.2</v>
      </c>
      <c r="O49">
        <v>0.4</v>
      </c>
      <c r="P4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7.6560000000000006</v>
      </c>
    </row>
    <row r="50" spans="1:16" x14ac:dyDescent="0.3">
      <c r="A50">
        <v>2021</v>
      </c>
      <c r="B50" t="s">
        <v>121</v>
      </c>
      <c r="C50" t="s">
        <v>224</v>
      </c>
      <c r="D50">
        <v>11918</v>
      </c>
      <c r="E50">
        <v>1.4</v>
      </c>
      <c r="F50">
        <v>1.9</v>
      </c>
      <c r="G50">
        <v>5.3</v>
      </c>
      <c r="H50">
        <v>7.3</v>
      </c>
      <c r="I50">
        <v>11.2</v>
      </c>
      <c r="J50">
        <v>11.9</v>
      </c>
      <c r="K50">
        <v>14.9</v>
      </c>
      <c r="L50">
        <v>20.7</v>
      </c>
      <c r="M50">
        <v>14.5</v>
      </c>
      <c r="N50">
        <v>10.9</v>
      </c>
      <c r="O50">
        <v>0.3</v>
      </c>
      <c r="P5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6.8709999999999996</v>
      </c>
    </row>
    <row r="51" spans="1:16" x14ac:dyDescent="0.3">
      <c r="A51">
        <v>2021</v>
      </c>
      <c r="B51" t="s">
        <v>121</v>
      </c>
      <c r="C51" t="s">
        <v>225</v>
      </c>
      <c r="D51">
        <v>6653</v>
      </c>
      <c r="E51">
        <v>1.8</v>
      </c>
      <c r="F51">
        <v>2.2999999999999998</v>
      </c>
      <c r="G51">
        <v>6.8</v>
      </c>
      <c r="H51">
        <v>9.4</v>
      </c>
      <c r="I51">
        <v>14.5</v>
      </c>
      <c r="J51">
        <v>14</v>
      </c>
      <c r="K51">
        <v>15.3</v>
      </c>
      <c r="L51">
        <v>17</v>
      </c>
      <c r="M51">
        <v>11.2</v>
      </c>
      <c r="N51">
        <v>7.6</v>
      </c>
      <c r="O51">
        <v>0.2</v>
      </c>
      <c r="P5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6.4080000000000004</v>
      </c>
    </row>
    <row r="52" spans="1:16" x14ac:dyDescent="0.3">
      <c r="A52">
        <v>2021</v>
      </c>
      <c r="B52" t="s">
        <v>121</v>
      </c>
      <c r="C52" t="s">
        <v>226</v>
      </c>
      <c r="D52">
        <v>5265</v>
      </c>
      <c r="E52">
        <v>0.9</v>
      </c>
      <c r="F52">
        <v>1.4</v>
      </c>
      <c r="G52">
        <v>3.5</v>
      </c>
      <c r="H52">
        <v>4.5999999999999996</v>
      </c>
      <c r="I52">
        <v>7</v>
      </c>
      <c r="J52">
        <v>9.1</v>
      </c>
      <c r="K52">
        <v>14.4</v>
      </c>
      <c r="L52">
        <v>25.3</v>
      </c>
      <c r="M52">
        <v>18.8</v>
      </c>
      <c r="N52">
        <v>15</v>
      </c>
      <c r="O52">
        <v>0.5</v>
      </c>
      <c r="P5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7.4459999999999997</v>
      </c>
    </row>
    <row r="53" spans="1:16" x14ac:dyDescent="0.3">
      <c r="A53">
        <v>2021</v>
      </c>
      <c r="B53" t="s">
        <v>122</v>
      </c>
      <c r="C53" t="s">
        <v>224</v>
      </c>
      <c r="D53">
        <v>11896</v>
      </c>
      <c r="E53">
        <v>0.5</v>
      </c>
      <c r="F53">
        <v>0.4</v>
      </c>
      <c r="G53">
        <v>2.4</v>
      </c>
      <c r="H53">
        <v>5.0999999999999996</v>
      </c>
      <c r="I53">
        <v>7.6</v>
      </c>
      <c r="J53">
        <v>10.8</v>
      </c>
      <c r="K53">
        <v>18</v>
      </c>
      <c r="L53">
        <v>26.7</v>
      </c>
      <c r="M53">
        <v>15.5</v>
      </c>
      <c r="N53">
        <v>12.9</v>
      </c>
      <c r="O53">
        <v>0.5</v>
      </c>
      <c r="P5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7.3980000000000006</v>
      </c>
    </row>
    <row r="54" spans="1:16" x14ac:dyDescent="0.3">
      <c r="A54">
        <v>2021</v>
      </c>
      <c r="B54" t="s">
        <v>122</v>
      </c>
      <c r="C54" t="s">
        <v>225</v>
      </c>
      <c r="D54">
        <v>6634</v>
      </c>
      <c r="E54">
        <v>0.6</v>
      </c>
      <c r="F54">
        <v>0.5</v>
      </c>
      <c r="G54">
        <v>3.1</v>
      </c>
      <c r="H54">
        <v>6.8</v>
      </c>
      <c r="I54">
        <v>9.6</v>
      </c>
      <c r="J54">
        <v>13.3</v>
      </c>
      <c r="K54">
        <v>20.100000000000001</v>
      </c>
      <c r="L54">
        <v>24.3</v>
      </c>
      <c r="M54">
        <v>12.2</v>
      </c>
      <c r="N54">
        <v>9.5</v>
      </c>
      <c r="O54">
        <v>0.4</v>
      </c>
      <c r="P5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7.0580000000000007</v>
      </c>
    </row>
    <row r="55" spans="1:16" x14ac:dyDescent="0.3">
      <c r="A55">
        <v>2021</v>
      </c>
      <c r="B55" t="s">
        <v>122</v>
      </c>
      <c r="C55" t="s">
        <v>226</v>
      </c>
      <c r="D55">
        <v>5262</v>
      </c>
      <c r="E55">
        <v>0.4</v>
      </c>
      <c r="F55">
        <v>0.3</v>
      </c>
      <c r="G55">
        <v>1.6</v>
      </c>
      <c r="H55">
        <v>3.1</v>
      </c>
      <c r="I55">
        <v>5.0999999999999996</v>
      </c>
      <c r="J55">
        <v>7.7</v>
      </c>
      <c r="K55">
        <v>15.4</v>
      </c>
      <c r="L55">
        <v>29.8</v>
      </c>
      <c r="M55">
        <v>19.7</v>
      </c>
      <c r="N55">
        <v>17.100000000000001</v>
      </c>
      <c r="O55">
        <v>0.5</v>
      </c>
      <c r="P5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7.8439999999999994</v>
      </c>
    </row>
    <row r="56" spans="1:16" x14ac:dyDescent="0.3">
      <c r="A56">
        <v>2021</v>
      </c>
      <c r="B56" t="s">
        <v>123</v>
      </c>
      <c r="C56" t="s">
        <v>224</v>
      </c>
      <c r="D56">
        <v>10133</v>
      </c>
      <c r="E56">
        <v>8.1999999999999993</v>
      </c>
      <c r="F56">
        <v>4.5</v>
      </c>
      <c r="G56">
        <v>10.8</v>
      </c>
      <c r="H56">
        <v>13.4</v>
      </c>
      <c r="I56">
        <v>11.5</v>
      </c>
      <c r="J56">
        <v>11.5</v>
      </c>
      <c r="K56">
        <v>15.4</v>
      </c>
      <c r="L56">
        <v>13.6</v>
      </c>
      <c r="M56">
        <v>7.2</v>
      </c>
      <c r="N56">
        <v>4</v>
      </c>
      <c r="O56">
        <v>15.2</v>
      </c>
      <c r="P5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5.5110000000000001</v>
      </c>
    </row>
    <row r="57" spans="1:16" x14ac:dyDescent="0.3">
      <c r="A57">
        <v>2021</v>
      </c>
      <c r="B57" t="s">
        <v>123</v>
      </c>
      <c r="C57" t="s">
        <v>225</v>
      </c>
      <c r="D57">
        <v>5594</v>
      </c>
      <c r="E57">
        <v>9.1</v>
      </c>
      <c r="F57">
        <v>5.0999999999999996</v>
      </c>
      <c r="G57">
        <v>11.4</v>
      </c>
      <c r="H57">
        <v>14.7</v>
      </c>
      <c r="I57">
        <v>11.8</v>
      </c>
      <c r="J57">
        <v>11.3</v>
      </c>
      <c r="K57">
        <v>15.8</v>
      </c>
      <c r="L57">
        <v>12.2</v>
      </c>
      <c r="M57">
        <v>5.3</v>
      </c>
      <c r="N57">
        <v>3.3</v>
      </c>
      <c r="O57">
        <v>16</v>
      </c>
      <c r="P5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5.28</v>
      </c>
    </row>
    <row r="58" spans="1:16" x14ac:dyDescent="0.3">
      <c r="A58">
        <v>2021</v>
      </c>
      <c r="B58" t="s">
        <v>123</v>
      </c>
      <c r="C58" t="s">
        <v>226</v>
      </c>
      <c r="D58">
        <v>4539</v>
      </c>
      <c r="E58">
        <v>7.1</v>
      </c>
      <c r="F58">
        <v>3.7</v>
      </c>
      <c r="G58">
        <v>10.1</v>
      </c>
      <c r="H58">
        <v>11.7</v>
      </c>
      <c r="I58">
        <v>11.2</v>
      </c>
      <c r="J58">
        <v>11.6</v>
      </c>
      <c r="K58">
        <v>14.9</v>
      </c>
      <c r="L58">
        <v>15.3</v>
      </c>
      <c r="M58">
        <v>9.5</v>
      </c>
      <c r="N58">
        <v>4.9000000000000004</v>
      </c>
      <c r="O58">
        <v>14.2</v>
      </c>
      <c r="P5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5.7840000000000007</v>
      </c>
    </row>
    <row r="59" spans="1:16" x14ac:dyDescent="0.3">
      <c r="A59">
        <v>2021</v>
      </c>
      <c r="B59" t="s">
        <v>148</v>
      </c>
      <c r="C59" t="s">
        <v>224</v>
      </c>
      <c r="D59">
        <v>10179</v>
      </c>
      <c r="E59">
        <v>10.9</v>
      </c>
      <c r="F59">
        <v>5.8</v>
      </c>
      <c r="G59">
        <v>11.6</v>
      </c>
      <c r="H59">
        <v>9.1999999999999993</v>
      </c>
      <c r="I59">
        <v>9.6999999999999993</v>
      </c>
      <c r="J59">
        <v>8.1</v>
      </c>
      <c r="K59">
        <v>12</v>
      </c>
      <c r="L59">
        <v>13</v>
      </c>
      <c r="M59">
        <v>9.6999999999999993</v>
      </c>
      <c r="N59">
        <v>9.9</v>
      </c>
      <c r="O59">
        <v>14.8</v>
      </c>
      <c r="P5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5.6550000000000002</v>
      </c>
    </row>
    <row r="60" spans="1:16" x14ac:dyDescent="0.3">
      <c r="A60">
        <v>2021</v>
      </c>
      <c r="B60" t="s">
        <v>148</v>
      </c>
      <c r="C60" t="s">
        <v>225</v>
      </c>
      <c r="D60">
        <v>5626</v>
      </c>
      <c r="E60">
        <v>11.4</v>
      </c>
      <c r="F60">
        <v>5.8</v>
      </c>
      <c r="G60">
        <v>11.9</v>
      </c>
      <c r="H60">
        <v>10.1</v>
      </c>
      <c r="I60">
        <v>9.9</v>
      </c>
      <c r="J60">
        <v>9</v>
      </c>
      <c r="K60">
        <v>12.6</v>
      </c>
      <c r="L60">
        <v>11.9</v>
      </c>
      <c r="M60">
        <v>8.1</v>
      </c>
      <c r="N60">
        <v>9.1</v>
      </c>
      <c r="O60">
        <v>15.6</v>
      </c>
      <c r="P6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5.4989999999999997</v>
      </c>
    </row>
    <row r="61" spans="1:16" x14ac:dyDescent="0.3">
      <c r="A61">
        <v>2021</v>
      </c>
      <c r="B61" t="s">
        <v>148</v>
      </c>
      <c r="C61" t="s">
        <v>226</v>
      </c>
      <c r="D61">
        <v>4553</v>
      </c>
      <c r="E61">
        <v>10.3</v>
      </c>
      <c r="F61">
        <v>5.8</v>
      </c>
      <c r="G61">
        <v>11.4</v>
      </c>
      <c r="H61">
        <v>8.1999999999999993</v>
      </c>
      <c r="I61">
        <v>9.5</v>
      </c>
      <c r="J61">
        <v>6.9</v>
      </c>
      <c r="K61">
        <v>11.2</v>
      </c>
      <c r="L61">
        <v>14.4</v>
      </c>
      <c r="M61">
        <v>11.6</v>
      </c>
      <c r="N61">
        <v>10.9</v>
      </c>
      <c r="O61">
        <v>13.9</v>
      </c>
      <c r="P6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5.8479999999999999</v>
      </c>
    </row>
    <row r="62" spans="1:16" x14ac:dyDescent="0.3">
      <c r="A62">
        <v>2021</v>
      </c>
      <c r="B62" t="s">
        <v>131</v>
      </c>
      <c r="C62" t="s">
        <v>224</v>
      </c>
      <c r="D62">
        <v>11879</v>
      </c>
      <c r="E62">
        <v>0.3</v>
      </c>
      <c r="F62">
        <v>0.5</v>
      </c>
      <c r="G62">
        <v>1.4</v>
      </c>
      <c r="H62">
        <v>4.7</v>
      </c>
      <c r="I62">
        <v>8.3000000000000007</v>
      </c>
      <c r="J62">
        <v>10.6</v>
      </c>
      <c r="K62">
        <v>22</v>
      </c>
      <c r="L62">
        <v>25.8</v>
      </c>
      <c r="M62">
        <v>13.6</v>
      </c>
      <c r="N62">
        <v>12.8</v>
      </c>
      <c r="O62">
        <v>0.6</v>
      </c>
      <c r="P6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7.4020000000000001</v>
      </c>
    </row>
    <row r="63" spans="1:16" x14ac:dyDescent="0.3">
      <c r="A63">
        <v>2021</v>
      </c>
      <c r="B63" t="s">
        <v>131</v>
      </c>
      <c r="C63" t="s">
        <v>225</v>
      </c>
      <c r="D63">
        <v>6621</v>
      </c>
      <c r="E63">
        <v>0.3</v>
      </c>
      <c r="F63">
        <v>0.5</v>
      </c>
      <c r="G63">
        <v>1.6</v>
      </c>
      <c r="H63">
        <v>5.3</v>
      </c>
      <c r="I63">
        <v>9.5</v>
      </c>
      <c r="J63">
        <v>11.9</v>
      </c>
      <c r="K63">
        <v>23</v>
      </c>
      <c r="L63">
        <v>24.9</v>
      </c>
      <c r="M63">
        <v>11.6</v>
      </c>
      <c r="N63">
        <v>11.4</v>
      </c>
      <c r="O63">
        <v>0.6</v>
      </c>
      <c r="P6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7.2479999999999993</v>
      </c>
    </row>
    <row r="64" spans="1:16" x14ac:dyDescent="0.3">
      <c r="A64">
        <v>2021</v>
      </c>
      <c r="B64" t="s">
        <v>131</v>
      </c>
      <c r="C64" t="s">
        <v>226</v>
      </c>
      <c r="D64">
        <v>5258</v>
      </c>
      <c r="E64">
        <v>0.2</v>
      </c>
      <c r="F64">
        <v>0.4</v>
      </c>
      <c r="G64">
        <v>1.2</v>
      </c>
      <c r="H64">
        <v>4</v>
      </c>
      <c r="I64">
        <v>6.8</v>
      </c>
      <c r="J64">
        <v>9</v>
      </c>
      <c r="K64">
        <v>20.7</v>
      </c>
      <c r="L64">
        <v>27</v>
      </c>
      <c r="M64">
        <v>16.100000000000001</v>
      </c>
      <c r="N64">
        <v>14.7</v>
      </c>
      <c r="O64">
        <v>0.6</v>
      </c>
      <c r="P6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7.6139999999999999</v>
      </c>
    </row>
    <row r="65" spans="1:16" x14ac:dyDescent="0.3">
      <c r="A65">
        <v>2021</v>
      </c>
      <c r="B65" t="s">
        <v>149</v>
      </c>
      <c r="C65" t="s">
        <v>224</v>
      </c>
      <c r="D65">
        <v>11605</v>
      </c>
      <c r="E65">
        <v>2.4</v>
      </c>
      <c r="F65">
        <v>1.7</v>
      </c>
      <c r="G65">
        <v>4.9000000000000004</v>
      </c>
      <c r="H65">
        <v>8.5</v>
      </c>
      <c r="I65">
        <v>12.4</v>
      </c>
      <c r="J65">
        <v>14.4</v>
      </c>
      <c r="K65">
        <v>21.4</v>
      </c>
      <c r="L65">
        <v>20.2</v>
      </c>
      <c r="M65">
        <v>8.8000000000000007</v>
      </c>
      <c r="N65">
        <v>5.5</v>
      </c>
      <c r="O65">
        <v>2.9</v>
      </c>
      <c r="P6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6.4849999999999994</v>
      </c>
    </row>
    <row r="66" spans="1:16" x14ac:dyDescent="0.3">
      <c r="A66">
        <v>2021</v>
      </c>
      <c r="B66" t="s">
        <v>149</v>
      </c>
      <c r="C66" t="s">
        <v>225</v>
      </c>
      <c r="D66">
        <v>6481</v>
      </c>
      <c r="E66">
        <v>2.8</v>
      </c>
      <c r="F66">
        <v>1.7</v>
      </c>
      <c r="G66">
        <v>5.4</v>
      </c>
      <c r="H66">
        <v>9.8000000000000007</v>
      </c>
      <c r="I66">
        <v>13.5</v>
      </c>
      <c r="J66">
        <v>15.6</v>
      </c>
      <c r="K66">
        <v>20.8</v>
      </c>
      <c r="L66">
        <v>18.600000000000001</v>
      </c>
      <c r="M66">
        <v>7.2</v>
      </c>
      <c r="N66">
        <v>4.5999999999999996</v>
      </c>
      <c r="O66">
        <v>2.7</v>
      </c>
      <c r="P6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6.2789999999999999</v>
      </c>
    </row>
    <row r="67" spans="1:16" x14ac:dyDescent="0.3">
      <c r="A67">
        <v>2021</v>
      </c>
      <c r="B67" t="s">
        <v>149</v>
      </c>
      <c r="C67" t="s">
        <v>226</v>
      </c>
      <c r="D67">
        <v>5124</v>
      </c>
      <c r="E67">
        <v>1.9</v>
      </c>
      <c r="F67">
        <v>1.6</v>
      </c>
      <c r="G67">
        <v>4.2</v>
      </c>
      <c r="H67">
        <v>6.8</v>
      </c>
      <c r="I67">
        <v>11</v>
      </c>
      <c r="J67">
        <v>12.9</v>
      </c>
      <c r="K67">
        <v>22.1</v>
      </c>
      <c r="L67">
        <v>22.2</v>
      </c>
      <c r="M67">
        <v>10.7</v>
      </c>
      <c r="N67">
        <v>6.6</v>
      </c>
      <c r="O67">
        <v>3.1</v>
      </c>
      <c r="P6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6.7190000000000003</v>
      </c>
    </row>
    <row r="68" spans="1:16" x14ac:dyDescent="0.3">
      <c r="A68">
        <v>2021</v>
      </c>
      <c r="B68" t="s">
        <v>150</v>
      </c>
      <c r="C68" t="s">
        <v>224</v>
      </c>
      <c r="D68">
        <v>11641</v>
      </c>
      <c r="E68">
        <v>1.9</v>
      </c>
      <c r="F68">
        <v>1.8</v>
      </c>
      <c r="G68">
        <v>4.9000000000000004</v>
      </c>
      <c r="H68">
        <v>7.8</v>
      </c>
      <c r="I68">
        <v>13.3</v>
      </c>
      <c r="J68">
        <v>14.6</v>
      </c>
      <c r="K68">
        <v>21.5</v>
      </c>
      <c r="L68">
        <v>19.5</v>
      </c>
      <c r="M68">
        <v>9.3000000000000007</v>
      </c>
      <c r="N68">
        <v>5.5</v>
      </c>
      <c r="O68">
        <v>2.6</v>
      </c>
      <c r="P6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6.5069999999999988</v>
      </c>
    </row>
    <row r="69" spans="1:16" x14ac:dyDescent="0.3">
      <c r="A69">
        <v>2021</v>
      </c>
      <c r="B69" t="s">
        <v>150</v>
      </c>
      <c r="C69" t="s">
        <v>225</v>
      </c>
      <c r="D69">
        <v>6504</v>
      </c>
      <c r="E69">
        <v>2.2000000000000002</v>
      </c>
      <c r="F69">
        <v>1.8</v>
      </c>
      <c r="G69">
        <v>5.7</v>
      </c>
      <c r="H69">
        <v>8.6999999999999993</v>
      </c>
      <c r="I69">
        <v>14.1</v>
      </c>
      <c r="J69">
        <v>15.5</v>
      </c>
      <c r="K69">
        <v>21.5</v>
      </c>
      <c r="L69">
        <v>18.100000000000001</v>
      </c>
      <c r="M69">
        <v>7.7</v>
      </c>
      <c r="N69">
        <v>4.7</v>
      </c>
      <c r="O69">
        <v>2.4</v>
      </c>
      <c r="P6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6.3279999999999994</v>
      </c>
    </row>
    <row r="70" spans="1:16" x14ac:dyDescent="0.3">
      <c r="A70">
        <v>2021</v>
      </c>
      <c r="B70" t="s">
        <v>150</v>
      </c>
      <c r="C70" t="s">
        <v>226</v>
      </c>
      <c r="D70">
        <v>5137</v>
      </c>
      <c r="E70">
        <v>1.4</v>
      </c>
      <c r="F70">
        <v>1.8</v>
      </c>
      <c r="G70">
        <v>3.9</v>
      </c>
      <c r="H70">
        <v>6.7</v>
      </c>
      <c r="I70">
        <v>12.4</v>
      </c>
      <c r="J70">
        <v>13.5</v>
      </c>
      <c r="K70">
        <v>21.4</v>
      </c>
      <c r="L70">
        <v>21.2</v>
      </c>
      <c r="M70">
        <v>11.3</v>
      </c>
      <c r="N70">
        <v>6.4</v>
      </c>
      <c r="O70">
        <v>2.9</v>
      </c>
      <c r="P7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6.7159999999999993</v>
      </c>
    </row>
    <row r="71" spans="1:16" x14ac:dyDescent="0.3">
      <c r="A71">
        <v>2021</v>
      </c>
      <c r="B71" t="s">
        <v>151</v>
      </c>
      <c r="C71" t="s">
        <v>224</v>
      </c>
      <c r="D71">
        <v>11660</v>
      </c>
      <c r="E71">
        <v>1.3</v>
      </c>
      <c r="F71">
        <v>1.3</v>
      </c>
      <c r="G71">
        <v>3.5</v>
      </c>
      <c r="H71">
        <v>6.9</v>
      </c>
      <c r="I71">
        <v>11.1</v>
      </c>
      <c r="J71">
        <v>12.9</v>
      </c>
      <c r="K71">
        <v>20.399999999999999</v>
      </c>
      <c r="L71">
        <v>23</v>
      </c>
      <c r="M71">
        <v>11.5</v>
      </c>
      <c r="N71">
        <v>8</v>
      </c>
      <c r="O71">
        <v>2.5</v>
      </c>
      <c r="P7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6.8520000000000003</v>
      </c>
    </row>
    <row r="72" spans="1:16" x14ac:dyDescent="0.3">
      <c r="A72">
        <v>2021</v>
      </c>
      <c r="B72" t="s">
        <v>151</v>
      </c>
      <c r="C72" t="s">
        <v>225</v>
      </c>
      <c r="D72">
        <v>6512</v>
      </c>
      <c r="E72">
        <v>1.5</v>
      </c>
      <c r="F72">
        <v>1.4</v>
      </c>
      <c r="G72">
        <v>4.0999999999999996</v>
      </c>
      <c r="H72">
        <v>7.9</v>
      </c>
      <c r="I72">
        <v>11.9</v>
      </c>
      <c r="J72">
        <v>13.7</v>
      </c>
      <c r="K72">
        <v>20.8</v>
      </c>
      <c r="L72">
        <v>21.7</v>
      </c>
      <c r="M72">
        <v>10.1</v>
      </c>
      <c r="N72">
        <v>6.7</v>
      </c>
      <c r="O72">
        <v>2.2999999999999998</v>
      </c>
      <c r="P7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6.669999999999999</v>
      </c>
    </row>
    <row r="73" spans="1:16" x14ac:dyDescent="0.3">
      <c r="A73">
        <v>2021</v>
      </c>
      <c r="B73" t="s">
        <v>151</v>
      </c>
      <c r="C73" t="s">
        <v>226</v>
      </c>
      <c r="D73">
        <v>5148</v>
      </c>
      <c r="E73">
        <v>1</v>
      </c>
      <c r="F73">
        <v>1.2</v>
      </c>
      <c r="G73">
        <v>2.7</v>
      </c>
      <c r="H73">
        <v>5.7</v>
      </c>
      <c r="I73">
        <v>10.1</v>
      </c>
      <c r="J73">
        <v>11.8</v>
      </c>
      <c r="K73">
        <v>19.899999999999999</v>
      </c>
      <c r="L73">
        <v>24.7</v>
      </c>
      <c r="M73">
        <v>13.3</v>
      </c>
      <c r="N73">
        <v>9.6999999999999993</v>
      </c>
      <c r="O73">
        <v>2.7</v>
      </c>
      <c r="P7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7.0919999999999996</v>
      </c>
    </row>
    <row r="74" spans="1:16" x14ac:dyDescent="0.3">
      <c r="A74">
        <v>2021</v>
      </c>
      <c r="B74" t="s">
        <v>152</v>
      </c>
      <c r="C74" t="s">
        <v>224</v>
      </c>
      <c r="D74">
        <v>11410</v>
      </c>
      <c r="E74">
        <v>4</v>
      </c>
      <c r="F74">
        <v>2.9</v>
      </c>
      <c r="G74">
        <v>9.1</v>
      </c>
      <c r="H74">
        <v>11.6</v>
      </c>
      <c r="I74">
        <v>14</v>
      </c>
      <c r="J74">
        <v>12.7</v>
      </c>
      <c r="K74">
        <v>17.7</v>
      </c>
      <c r="L74">
        <v>15.7</v>
      </c>
      <c r="M74">
        <v>7.6</v>
      </c>
      <c r="N74">
        <v>4.7</v>
      </c>
      <c r="O74">
        <v>4.5</v>
      </c>
      <c r="P7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5.9459999999999997</v>
      </c>
    </row>
    <row r="75" spans="1:16" x14ac:dyDescent="0.3">
      <c r="A75">
        <v>2021</v>
      </c>
      <c r="B75" t="s">
        <v>152</v>
      </c>
      <c r="C75" t="s">
        <v>225</v>
      </c>
      <c r="D75">
        <v>6380</v>
      </c>
      <c r="E75">
        <v>4</v>
      </c>
      <c r="F75">
        <v>2.9</v>
      </c>
      <c r="G75">
        <v>10.199999999999999</v>
      </c>
      <c r="H75">
        <v>12.5</v>
      </c>
      <c r="I75">
        <v>14.3</v>
      </c>
      <c r="J75">
        <v>13.3</v>
      </c>
      <c r="K75">
        <v>17.8</v>
      </c>
      <c r="L75">
        <v>14.6</v>
      </c>
      <c r="M75">
        <v>6.5</v>
      </c>
      <c r="N75">
        <v>3.8</v>
      </c>
      <c r="O75">
        <v>4.2</v>
      </c>
      <c r="P7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5.7960000000000003</v>
      </c>
    </row>
    <row r="76" spans="1:16" x14ac:dyDescent="0.3">
      <c r="A76">
        <v>2021</v>
      </c>
      <c r="B76" t="s">
        <v>152</v>
      </c>
      <c r="C76" t="s">
        <v>226</v>
      </c>
      <c r="D76">
        <v>5030</v>
      </c>
      <c r="E76">
        <v>3.9</v>
      </c>
      <c r="F76">
        <v>2.9</v>
      </c>
      <c r="G76">
        <v>7.8</v>
      </c>
      <c r="H76">
        <v>10.5</v>
      </c>
      <c r="I76">
        <v>13.7</v>
      </c>
      <c r="J76">
        <v>12</v>
      </c>
      <c r="K76">
        <v>17.5</v>
      </c>
      <c r="L76">
        <v>17.100000000000001</v>
      </c>
      <c r="M76">
        <v>8.9</v>
      </c>
      <c r="N76">
        <v>5.8</v>
      </c>
      <c r="O76">
        <v>4.9000000000000004</v>
      </c>
      <c r="P7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6.13</v>
      </c>
    </row>
    <row r="77" spans="1:16" x14ac:dyDescent="0.3">
      <c r="A77">
        <v>2021</v>
      </c>
      <c r="B77" t="s">
        <v>153</v>
      </c>
      <c r="C77" t="s">
        <v>224</v>
      </c>
      <c r="D77">
        <v>11350</v>
      </c>
      <c r="E77">
        <v>0.7</v>
      </c>
      <c r="F77">
        <v>0.9</v>
      </c>
      <c r="G77">
        <v>2.6</v>
      </c>
      <c r="H77">
        <v>5.4</v>
      </c>
      <c r="I77">
        <v>10.6</v>
      </c>
      <c r="J77">
        <v>12</v>
      </c>
      <c r="K77">
        <v>22.6</v>
      </c>
      <c r="L77">
        <v>25.1</v>
      </c>
      <c r="M77">
        <v>12.6</v>
      </c>
      <c r="N77">
        <v>7.5</v>
      </c>
      <c r="O77">
        <v>5</v>
      </c>
      <c r="P7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7.0429999999999993</v>
      </c>
    </row>
    <row r="78" spans="1:16" x14ac:dyDescent="0.3">
      <c r="A78">
        <v>2021</v>
      </c>
      <c r="B78" t="s">
        <v>153</v>
      </c>
      <c r="C78" t="s">
        <v>225</v>
      </c>
      <c r="D78">
        <v>6350</v>
      </c>
      <c r="E78">
        <v>0.8</v>
      </c>
      <c r="F78">
        <v>0.9</v>
      </c>
      <c r="G78">
        <v>3.1</v>
      </c>
      <c r="H78">
        <v>6</v>
      </c>
      <c r="I78">
        <v>11.1</v>
      </c>
      <c r="J78">
        <v>13</v>
      </c>
      <c r="K78">
        <v>23.3</v>
      </c>
      <c r="L78">
        <v>24.3</v>
      </c>
      <c r="M78">
        <v>11.2</v>
      </c>
      <c r="N78">
        <v>6.3</v>
      </c>
      <c r="O78">
        <v>4.7</v>
      </c>
      <c r="P7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6.907</v>
      </c>
    </row>
    <row r="79" spans="1:16" x14ac:dyDescent="0.3">
      <c r="A79">
        <v>2021</v>
      </c>
      <c r="B79" t="s">
        <v>153</v>
      </c>
      <c r="C79" t="s">
        <v>226</v>
      </c>
      <c r="D79">
        <v>5000</v>
      </c>
      <c r="E79">
        <v>0.7</v>
      </c>
      <c r="F79">
        <v>0.8</v>
      </c>
      <c r="G79">
        <v>2</v>
      </c>
      <c r="H79">
        <v>4.7</v>
      </c>
      <c r="I79">
        <v>10</v>
      </c>
      <c r="J79">
        <v>10.8</v>
      </c>
      <c r="K79">
        <v>21.6</v>
      </c>
      <c r="L79">
        <v>26</v>
      </c>
      <c r="M79">
        <v>14.3</v>
      </c>
      <c r="N79">
        <v>9.1</v>
      </c>
      <c r="O79">
        <v>5.5</v>
      </c>
      <c r="P7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7.2080000000000002</v>
      </c>
    </row>
    <row r="80" spans="1:16" x14ac:dyDescent="0.3">
      <c r="A80">
        <v>2021</v>
      </c>
      <c r="B80" t="s">
        <v>154</v>
      </c>
      <c r="C80" t="s">
        <v>224</v>
      </c>
      <c r="D80">
        <v>11397</v>
      </c>
      <c r="E80">
        <v>0.8</v>
      </c>
      <c r="F80">
        <v>1.2</v>
      </c>
      <c r="G80">
        <v>2.9</v>
      </c>
      <c r="H80">
        <v>7</v>
      </c>
      <c r="I80">
        <v>10.9</v>
      </c>
      <c r="J80">
        <v>11.7</v>
      </c>
      <c r="K80">
        <v>19.2</v>
      </c>
      <c r="L80">
        <v>23.7</v>
      </c>
      <c r="M80">
        <v>11.8</v>
      </c>
      <c r="N80">
        <v>10.7</v>
      </c>
      <c r="O80">
        <v>4.7</v>
      </c>
      <c r="P8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7.0180000000000007</v>
      </c>
    </row>
    <row r="81" spans="1:16" x14ac:dyDescent="0.3">
      <c r="A81">
        <v>2021</v>
      </c>
      <c r="B81" t="s">
        <v>154</v>
      </c>
      <c r="C81" t="s">
        <v>225</v>
      </c>
      <c r="D81">
        <v>6370</v>
      </c>
      <c r="E81">
        <v>0.8</v>
      </c>
      <c r="F81">
        <v>1.3</v>
      </c>
      <c r="G81">
        <v>3.2</v>
      </c>
      <c r="H81">
        <v>7.4</v>
      </c>
      <c r="I81">
        <v>12</v>
      </c>
      <c r="J81">
        <v>12.4</v>
      </c>
      <c r="K81">
        <v>19.5</v>
      </c>
      <c r="L81">
        <v>23.4</v>
      </c>
      <c r="M81">
        <v>10.4</v>
      </c>
      <c r="N81">
        <v>9.5</v>
      </c>
      <c r="O81">
        <v>4.4000000000000004</v>
      </c>
      <c r="P8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6.8929999999999998</v>
      </c>
    </row>
    <row r="82" spans="1:16" x14ac:dyDescent="0.3">
      <c r="A82">
        <v>2021</v>
      </c>
      <c r="B82" t="s">
        <v>154</v>
      </c>
      <c r="C82" t="s">
        <v>226</v>
      </c>
      <c r="D82">
        <v>5027</v>
      </c>
      <c r="E82">
        <v>0.7</v>
      </c>
      <c r="F82">
        <v>1.2</v>
      </c>
      <c r="G82">
        <v>2.5</v>
      </c>
      <c r="H82">
        <v>6.5</v>
      </c>
      <c r="I82">
        <v>9.6</v>
      </c>
      <c r="J82">
        <v>10.8</v>
      </c>
      <c r="K82">
        <v>18.8</v>
      </c>
      <c r="L82">
        <v>24.1</v>
      </c>
      <c r="M82">
        <v>13.5</v>
      </c>
      <c r="N82">
        <v>12.2</v>
      </c>
      <c r="O82">
        <v>5</v>
      </c>
      <c r="P8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7.173</v>
      </c>
    </row>
    <row r="83" spans="1:16" x14ac:dyDescent="0.3">
      <c r="A83">
        <v>2021</v>
      </c>
      <c r="B83" t="s">
        <v>155</v>
      </c>
      <c r="C83" t="s">
        <v>224</v>
      </c>
      <c r="D83">
        <v>9912</v>
      </c>
      <c r="E83">
        <v>0.5</v>
      </c>
      <c r="F83">
        <v>0.5</v>
      </c>
      <c r="G83">
        <v>1.6</v>
      </c>
      <c r="H83">
        <v>3.6</v>
      </c>
      <c r="I83">
        <v>7.2</v>
      </c>
      <c r="J83">
        <v>8.5</v>
      </c>
      <c r="K83">
        <v>18</v>
      </c>
      <c r="L83">
        <v>28.1</v>
      </c>
      <c r="M83">
        <v>16.7</v>
      </c>
      <c r="N83">
        <v>15.3</v>
      </c>
      <c r="O83">
        <v>17.100000000000001</v>
      </c>
      <c r="P8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7.6180000000000003</v>
      </c>
    </row>
    <row r="84" spans="1:16" x14ac:dyDescent="0.3">
      <c r="A84">
        <v>2021</v>
      </c>
      <c r="B84" t="s">
        <v>155</v>
      </c>
      <c r="C84" t="s">
        <v>225</v>
      </c>
      <c r="D84">
        <v>5493</v>
      </c>
      <c r="E84">
        <v>0.6</v>
      </c>
      <c r="F84">
        <v>0.6</v>
      </c>
      <c r="G84">
        <v>1.7</v>
      </c>
      <c r="H84">
        <v>4.0999999999999996</v>
      </c>
      <c r="I84">
        <v>8</v>
      </c>
      <c r="J84">
        <v>10.1</v>
      </c>
      <c r="K84">
        <v>19.7</v>
      </c>
      <c r="L84">
        <v>26.3</v>
      </c>
      <c r="M84">
        <v>15.2</v>
      </c>
      <c r="N84">
        <v>13.6</v>
      </c>
      <c r="O84">
        <v>17.600000000000001</v>
      </c>
      <c r="P8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7.45</v>
      </c>
    </row>
    <row r="85" spans="1:16" x14ac:dyDescent="0.3">
      <c r="A85">
        <v>2021</v>
      </c>
      <c r="B85" t="s">
        <v>155</v>
      </c>
      <c r="C85" t="s">
        <v>226</v>
      </c>
      <c r="D85">
        <v>4419</v>
      </c>
      <c r="E85">
        <v>0.3</v>
      </c>
      <c r="F85">
        <v>0.3</v>
      </c>
      <c r="G85">
        <v>1.4</v>
      </c>
      <c r="H85">
        <v>2.9</v>
      </c>
      <c r="I85">
        <v>6.2</v>
      </c>
      <c r="J85">
        <v>6.6</v>
      </c>
      <c r="K85">
        <v>16</v>
      </c>
      <c r="L85">
        <v>30.3</v>
      </c>
      <c r="M85">
        <v>18.600000000000001</v>
      </c>
      <c r="N85">
        <v>17.399999999999999</v>
      </c>
      <c r="O85">
        <v>16.5</v>
      </c>
      <c r="P8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7.8310000000000004</v>
      </c>
    </row>
    <row r="86" spans="1:16" x14ac:dyDescent="0.3">
      <c r="A86">
        <v>2021</v>
      </c>
      <c r="B86" t="s">
        <v>156</v>
      </c>
      <c r="C86" t="s">
        <v>224</v>
      </c>
      <c r="D86">
        <v>10417</v>
      </c>
      <c r="E86">
        <v>0.5</v>
      </c>
      <c r="F86">
        <v>0.6</v>
      </c>
      <c r="G86">
        <v>2.2000000000000002</v>
      </c>
      <c r="H86">
        <v>3.9</v>
      </c>
      <c r="I86">
        <v>7.3</v>
      </c>
      <c r="J86">
        <v>9.8000000000000007</v>
      </c>
      <c r="K86">
        <v>18.899999999999999</v>
      </c>
      <c r="L86">
        <v>26.3</v>
      </c>
      <c r="M86">
        <v>16.2</v>
      </c>
      <c r="N86">
        <v>14.3</v>
      </c>
      <c r="O86">
        <v>12.9</v>
      </c>
      <c r="P8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7.5069999999999997</v>
      </c>
    </row>
    <row r="87" spans="1:16" x14ac:dyDescent="0.3">
      <c r="A87">
        <v>2021</v>
      </c>
      <c r="B87" t="s">
        <v>156</v>
      </c>
      <c r="C87" t="s">
        <v>225</v>
      </c>
      <c r="D87">
        <v>5785</v>
      </c>
      <c r="E87">
        <v>0.6</v>
      </c>
      <c r="F87">
        <v>0.7</v>
      </c>
      <c r="G87">
        <v>2.6</v>
      </c>
      <c r="H87">
        <v>4.7</v>
      </c>
      <c r="I87">
        <v>7.8</v>
      </c>
      <c r="J87">
        <v>11</v>
      </c>
      <c r="K87">
        <v>20.2</v>
      </c>
      <c r="L87">
        <v>24.5</v>
      </c>
      <c r="M87">
        <v>14.9</v>
      </c>
      <c r="N87">
        <v>13</v>
      </c>
      <c r="O87">
        <v>13.2</v>
      </c>
      <c r="P8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7.351</v>
      </c>
    </row>
    <row r="88" spans="1:16" x14ac:dyDescent="0.3">
      <c r="A88">
        <v>2021</v>
      </c>
      <c r="B88" t="s">
        <v>156</v>
      </c>
      <c r="C88" t="s">
        <v>226</v>
      </c>
      <c r="D88">
        <v>4632</v>
      </c>
      <c r="E88">
        <v>0.4</v>
      </c>
      <c r="F88">
        <v>0.5</v>
      </c>
      <c r="G88">
        <v>1.7</v>
      </c>
      <c r="H88">
        <v>3</v>
      </c>
      <c r="I88">
        <v>6.6</v>
      </c>
      <c r="J88">
        <v>8.3000000000000007</v>
      </c>
      <c r="K88">
        <v>17.2</v>
      </c>
      <c r="L88">
        <v>28.6</v>
      </c>
      <c r="M88">
        <v>17.899999999999999</v>
      </c>
      <c r="N88">
        <v>15.8</v>
      </c>
      <c r="O88">
        <v>12.4</v>
      </c>
      <c r="P8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7.6960000000000006</v>
      </c>
    </row>
    <row r="89" spans="1:16" x14ac:dyDescent="0.3">
      <c r="A89">
        <v>2021</v>
      </c>
      <c r="B89" t="s">
        <v>157</v>
      </c>
      <c r="C89" t="s">
        <v>224</v>
      </c>
      <c r="D89">
        <v>9682</v>
      </c>
      <c r="E89">
        <v>0.4</v>
      </c>
      <c r="F89">
        <v>0.5</v>
      </c>
      <c r="G89">
        <v>2.1</v>
      </c>
      <c r="H89">
        <v>4.2</v>
      </c>
      <c r="I89">
        <v>7.7</v>
      </c>
      <c r="J89">
        <v>10</v>
      </c>
      <c r="K89">
        <v>19.399999999999999</v>
      </c>
      <c r="L89">
        <v>26.6</v>
      </c>
      <c r="M89">
        <v>17.100000000000001</v>
      </c>
      <c r="N89">
        <v>12</v>
      </c>
      <c r="O89">
        <v>19</v>
      </c>
      <c r="P8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7.455000000000001</v>
      </c>
    </row>
    <row r="90" spans="1:16" x14ac:dyDescent="0.3">
      <c r="A90">
        <v>2021</v>
      </c>
      <c r="B90" t="s">
        <v>157</v>
      </c>
      <c r="C90" t="s">
        <v>225</v>
      </c>
      <c r="D90">
        <v>5382</v>
      </c>
      <c r="E90">
        <v>0.4</v>
      </c>
      <c r="F90">
        <v>0.7</v>
      </c>
      <c r="G90">
        <v>2.5</v>
      </c>
      <c r="H90">
        <v>4.5999999999999996</v>
      </c>
      <c r="I90">
        <v>8.4</v>
      </c>
      <c r="J90">
        <v>10.8</v>
      </c>
      <c r="K90">
        <v>20.8</v>
      </c>
      <c r="L90">
        <v>25.4</v>
      </c>
      <c r="M90">
        <v>15.8</v>
      </c>
      <c r="N90">
        <v>10.6</v>
      </c>
      <c r="O90">
        <v>19.2</v>
      </c>
      <c r="P9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7.3150000000000013</v>
      </c>
    </row>
    <row r="91" spans="1:16" x14ac:dyDescent="0.3">
      <c r="A91">
        <v>2021</v>
      </c>
      <c r="B91" t="s">
        <v>157</v>
      </c>
      <c r="C91" t="s">
        <v>226</v>
      </c>
      <c r="D91">
        <v>4300</v>
      </c>
      <c r="E91">
        <v>0.2</v>
      </c>
      <c r="F91">
        <v>0.4</v>
      </c>
      <c r="G91">
        <v>1.7</v>
      </c>
      <c r="H91">
        <v>3.7</v>
      </c>
      <c r="I91">
        <v>6.8</v>
      </c>
      <c r="J91">
        <v>9</v>
      </c>
      <c r="K91">
        <v>17.7</v>
      </c>
      <c r="L91">
        <v>28.1</v>
      </c>
      <c r="M91">
        <v>18.7</v>
      </c>
      <c r="N91">
        <v>13.7</v>
      </c>
      <c r="O91">
        <v>18.7</v>
      </c>
      <c r="P9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7.6290000000000004</v>
      </c>
    </row>
    <row r="92" spans="1:16" x14ac:dyDescent="0.3">
      <c r="A92">
        <v>2021</v>
      </c>
      <c r="B92" t="s">
        <v>158</v>
      </c>
      <c r="C92" t="s">
        <v>224</v>
      </c>
      <c r="D92">
        <v>9484</v>
      </c>
      <c r="E92">
        <v>0.4</v>
      </c>
      <c r="F92">
        <v>0.6</v>
      </c>
      <c r="G92">
        <v>2.1</v>
      </c>
      <c r="H92">
        <v>4</v>
      </c>
      <c r="I92">
        <v>8</v>
      </c>
      <c r="J92">
        <v>10.7</v>
      </c>
      <c r="K92">
        <v>18.8</v>
      </c>
      <c r="L92">
        <v>26.3</v>
      </c>
      <c r="M92">
        <v>16.399999999999999</v>
      </c>
      <c r="N92">
        <v>12.7</v>
      </c>
      <c r="O92">
        <v>20.7</v>
      </c>
      <c r="P9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7.4469999999999992</v>
      </c>
    </row>
    <row r="93" spans="1:16" x14ac:dyDescent="0.3">
      <c r="A93">
        <v>2021</v>
      </c>
      <c r="B93" t="s">
        <v>158</v>
      </c>
      <c r="C93" t="s">
        <v>225</v>
      </c>
      <c r="D93">
        <v>5284</v>
      </c>
      <c r="E93">
        <v>0.6</v>
      </c>
      <c r="F93">
        <v>0.6</v>
      </c>
      <c r="G93">
        <v>2.2999999999999998</v>
      </c>
      <c r="H93">
        <v>4.5</v>
      </c>
      <c r="I93">
        <v>8.6999999999999993</v>
      </c>
      <c r="J93">
        <v>11.7</v>
      </c>
      <c r="K93">
        <v>19.2</v>
      </c>
      <c r="L93">
        <v>25.6</v>
      </c>
      <c r="M93">
        <v>15.2</v>
      </c>
      <c r="N93">
        <v>11.5</v>
      </c>
      <c r="O93">
        <v>20.7</v>
      </c>
      <c r="P9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7.3140000000000001</v>
      </c>
    </row>
    <row r="94" spans="1:16" x14ac:dyDescent="0.3">
      <c r="A94">
        <v>2021</v>
      </c>
      <c r="B94" t="s">
        <v>158</v>
      </c>
      <c r="C94" t="s">
        <v>226</v>
      </c>
      <c r="D94">
        <v>4200</v>
      </c>
      <c r="E94">
        <v>0.2</v>
      </c>
      <c r="F94">
        <v>0.6</v>
      </c>
      <c r="G94">
        <v>1.8</v>
      </c>
      <c r="H94">
        <v>3.5</v>
      </c>
      <c r="I94">
        <v>7</v>
      </c>
      <c r="J94">
        <v>9.3000000000000007</v>
      </c>
      <c r="K94">
        <v>18.2</v>
      </c>
      <c r="L94">
        <v>27.3</v>
      </c>
      <c r="M94">
        <v>18</v>
      </c>
      <c r="N94">
        <v>14</v>
      </c>
      <c r="O94">
        <v>20.6</v>
      </c>
      <c r="P9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7.5939999999999994</v>
      </c>
    </row>
    <row r="95" spans="1:16" x14ac:dyDescent="0.3">
      <c r="A95">
        <v>2021</v>
      </c>
      <c r="B95" t="s">
        <v>159</v>
      </c>
      <c r="C95" t="s">
        <v>224</v>
      </c>
      <c r="D95">
        <v>10249</v>
      </c>
      <c r="E95">
        <v>0.3</v>
      </c>
      <c r="F95">
        <v>0.4</v>
      </c>
      <c r="G95">
        <v>1.5</v>
      </c>
      <c r="H95">
        <v>3.5</v>
      </c>
      <c r="I95">
        <v>6.2</v>
      </c>
      <c r="J95">
        <v>7.8</v>
      </c>
      <c r="K95">
        <v>15.7</v>
      </c>
      <c r="L95">
        <v>26.5</v>
      </c>
      <c r="M95">
        <v>17.100000000000001</v>
      </c>
      <c r="N95">
        <v>20.9</v>
      </c>
      <c r="O95">
        <v>14.3</v>
      </c>
      <c r="P9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7.8219999999999992</v>
      </c>
    </row>
    <row r="96" spans="1:16" x14ac:dyDescent="0.3">
      <c r="A96">
        <v>2021</v>
      </c>
      <c r="B96" t="s">
        <v>159</v>
      </c>
      <c r="C96" t="s">
        <v>225</v>
      </c>
      <c r="D96">
        <v>5668</v>
      </c>
      <c r="E96">
        <v>0.4</v>
      </c>
      <c r="F96">
        <v>0.4</v>
      </c>
      <c r="G96">
        <v>1.7</v>
      </c>
      <c r="H96">
        <v>3.9</v>
      </c>
      <c r="I96">
        <v>6.8</v>
      </c>
      <c r="J96">
        <v>9</v>
      </c>
      <c r="K96">
        <v>17.3</v>
      </c>
      <c r="L96">
        <v>25.4</v>
      </c>
      <c r="M96">
        <v>16.100000000000001</v>
      </c>
      <c r="N96">
        <v>19.2</v>
      </c>
      <c r="O96">
        <v>14.9</v>
      </c>
      <c r="P9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7.7110000000000003</v>
      </c>
    </row>
    <row r="97" spans="1:16" x14ac:dyDescent="0.3">
      <c r="A97">
        <v>2021</v>
      </c>
      <c r="B97" t="s">
        <v>159</v>
      </c>
      <c r="C97" t="s">
        <v>226</v>
      </c>
      <c r="D97">
        <v>4581</v>
      </c>
      <c r="E97">
        <v>0.2</v>
      </c>
      <c r="F97">
        <v>0.4</v>
      </c>
      <c r="G97">
        <v>1.3</v>
      </c>
      <c r="H97">
        <v>3.1</v>
      </c>
      <c r="I97">
        <v>5.6</v>
      </c>
      <c r="J97">
        <v>6.3</v>
      </c>
      <c r="K97">
        <v>13.8</v>
      </c>
      <c r="L97">
        <v>27.9</v>
      </c>
      <c r="M97">
        <v>18.399999999999999</v>
      </c>
      <c r="N97">
        <v>23.1</v>
      </c>
      <c r="O97">
        <v>13.4</v>
      </c>
      <c r="P9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7.9949999999999992</v>
      </c>
    </row>
    <row r="98" spans="1:16" x14ac:dyDescent="0.3">
      <c r="A98">
        <v>2021</v>
      </c>
      <c r="B98" t="s">
        <v>160</v>
      </c>
      <c r="C98" t="s">
        <v>224</v>
      </c>
      <c r="D98">
        <v>10781</v>
      </c>
      <c r="E98">
        <v>0.2</v>
      </c>
      <c r="F98">
        <v>0.3</v>
      </c>
      <c r="G98">
        <v>0.6</v>
      </c>
      <c r="H98">
        <v>1.8</v>
      </c>
      <c r="I98">
        <v>4.9000000000000004</v>
      </c>
      <c r="J98">
        <v>6.7</v>
      </c>
      <c r="K98">
        <v>13.5</v>
      </c>
      <c r="L98">
        <v>24.3</v>
      </c>
      <c r="M98">
        <v>18.3</v>
      </c>
      <c r="N98">
        <v>29.3</v>
      </c>
      <c r="O98">
        <v>9.8000000000000007</v>
      </c>
      <c r="P9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8.2110000000000003</v>
      </c>
    </row>
    <row r="99" spans="1:16" x14ac:dyDescent="0.3">
      <c r="A99">
        <v>2021</v>
      </c>
      <c r="B99" t="s">
        <v>160</v>
      </c>
      <c r="C99" t="s">
        <v>225</v>
      </c>
      <c r="D99">
        <v>5954</v>
      </c>
      <c r="E99">
        <v>0.2</v>
      </c>
      <c r="F99">
        <v>0.3</v>
      </c>
      <c r="G99">
        <v>0.8</v>
      </c>
      <c r="H99">
        <v>2.2000000000000002</v>
      </c>
      <c r="I99">
        <v>5.4</v>
      </c>
      <c r="J99">
        <v>7.9</v>
      </c>
      <c r="K99">
        <v>14.7</v>
      </c>
      <c r="L99">
        <v>24.2</v>
      </c>
      <c r="M99">
        <v>17.3</v>
      </c>
      <c r="N99">
        <v>27</v>
      </c>
      <c r="O99">
        <v>10.6</v>
      </c>
      <c r="P9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8.0860000000000003</v>
      </c>
    </row>
    <row r="100" spans="1:16" x14ac:dyDescent="0.3">
      <c r="A100">
        <v>2021</v>
      </c>
      <c r="B100" t="s">
        <v>160</v>
      </c>
      <c r="C100" t="s">
        <v>226</v>
      </c>
      <c r="D100">
        <v>4827</v>
      </c>
      <c r="E100">
        <v>0.2</v>
      </c>
      <c r="F100">
        <v>0.2</v>
      </c>
      <c r="G100">
        <v>0.4</v>
      </c>
      <c r="H100">
        <v>1.3</v>
      </c>
      <c r="I100">
        <v>4.2</v>
      </c>
      <c r="J100">
        <v>5.2</v>
      </c>
      <c r="K100">
        <v>12.1</v>
      </c>
      <c r="L100">
        <v>24.4</v>
      </c>
      <c r="M100">
        <v>19.600000000000001</v>
      </c>
      <c r="N100">
        <v>32.200000000000003</v>
      </c>
      <c r="O100">
        <v>8.8000000000000007</v>
      </c>
      <c r="P10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8.375</v>
      </c>
    </row>
    <row r="101" spans="1:16" x14ac:dyDescent="0.3">
      <c r="A101">
        <v>2021</v>
      </c>
      <c r="B101" t="s">
        <v>161</v>
      </c>
      <c r="C101" t="s">
        <v>224</v>
      </c>
      <c r="D101">
        <v>9963</v>
      </c>
      <c r="E101">
        <v>0.3</v>
      </c>
      <c r="F101">
        <v>0.2</v>
      </c>
      <c r="G101">
        <v>1</v>
      </c>
      <c r="H101">
        <v>2.7</v>
      </c>
      <c r="I101">
        <v>6</v>
      </c>
      <c r="J101">
        <v>9.6999999999999993</v>
      </c>
      <c r="K101">
        <v>18.2</v>
      </c>
      <c r="L101">
        <v>27.4</v>
      </c>
      <c r="M101">
        <v>17.7</v>
      </c>
      <c r="N101">
        <v>16.8</v>
      </c>
      <c r="O101">
        <v>16.600000000000001</v>
      </c>
      <c r="P10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7.766</v>
      </c>
    </row>
    <row r="102" spans="1:16" x14ac:dyDescent="0.3">
      <c r="A102">
        <v>2021</v>
      </c>
      <c r="B102" t="s">
        <v>161</v>
      </c>
      <c r="C102" t="s">
        <v>225</v>
      </c>
      <c r="D102">
        <v>5530</v>
      </c>
      <c r="E102">
        <v>0.3</v>
      </c>
      <c r="F102">
        <v>0.3</v>
      </c>
      <c r="G102">
        <v>1.3</v>
      </c>
      <c r="H102">
        <v>3.1</v>
      </c>
      <c r="I102">
        <v>6.3</v>
      </c>
      <c r="J102">
        <v>10.8</v>
      </c>
      <c r="K102">
        <v>19</v>
      </c>
      <c r="L102">
        <v>27</v>
      </c>
      <c r="M102">
        <v>16.5</v>
      </c>
      <c r="N102">
        <v>15.5</v>
      </c>
      <c r="O102">
        <v>17</v>
      </c>
      <c r="P10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7.66</v>
      </c>
    </row>
    <row r="103" spans="1:16" x14ac:dyDescent="0.3">
      <c r="A103">
        <v>2021</v>
      </c>
      <c r="B103" t="s">
        <v>161</v>
      </c>
      <c r="C103" t="s">
        <v>226</v>
      </c>
      <c r="D103">
        <v>4433</v>
      </c>
      <c r="E103">
        <v>0.4</v>
      </c>
      <c r="F103">
        <v>0.2</v>
      </c>
      <c r="G103">
        <v>0.7</v>
      </c>
      <c r="H103">
        <v>2.2000000000000002</v>
      </c>
      <c r="I103">
        <v>5.6</v>
      </c>
      <c r="J103">
        <v>8.1999999999999993</v>
      </c>
      <c r="K103">
        <v>17.2</v>
      </c>
      <c r="L103">
        <v>28</v>
      </c>
      <c r="M103">
        <v>19.100000000000001</v>
      </c>
      <c r="N103">
        <v>18.5</v>
      </c>
      <c r="O103">
        <v>16.2</v>
      </c>
      <c r="P10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7.902000000000001</v>
      </c>
    </row>
    <row r="104" spans="1:16" x14ac:dyDescent="0.3">
      <c r="A104">
        <v>2021</v>
      </c>
      <c r="B104" t="s">
        <v>162</v>
      </c>
      <c r="C104" t="s">
        <v>224</v>
      </c>
      <c r="D104">
        <v>9757</v>
      </c>
      <c r="E104">
        <v>0.5</v>
      </c>
      <c r="F104">
        <v>0.4</v>
      </c>
      <c r="G104">
        <v>2.6</v>
      </c>
      <c r="H104">
        <v>4.3</v>
      </c>
      <c r="I104">
        <v>8.3000000000000007</v>
      </c>
      <c r="J104">
        <v>11.7</v>
      </c>
      <c r="K104">
        <v>19.2</v>
      </c>
      <c r="L104">
        <v>25.6</v>
      </c>
      <c r="M104">
        <v>14.7</v>
      </c>
      <c r="N104">
        <v>12.7</v>
      </c>
      <c r="O104">
        <v>18.399999999999999</v>
      </c>
      <c r="P10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7.3650000000000002</v>
      </c>
    </row>
    <row r="105" spans="1:16" x14ac:dyDescent="0.3">
      <c r="A105">
        <v>2021</v>
      </c>
      <c r="B105" t="s">
        <v>162</v>
      </c>
      <c r="C105" t="s">
        <v>225</v>
      </c>
      <c r="D105">
        <v>5434</v>
      </c>
      <c r="E105">
        <v>0.6</v>
      </c>
      <c r="F105">
        <v>0.5</v>
      </c>
      <c r="G105">
        <v>2.7</v>
      </c>
      <c r="H105">
        <v>4.5</v>
      </c>
      <c r="I105">
        <v>8.6</v>
      </c>
      <c r="J105">
        <v>12.4</v>
      </c>
      <c r="K105">
        <v>20.100000000000001</v>
      </c>
      <c r="L105">
        <v>25.1</v>
      </c>
      <c r="M105">
        <v>13.9</v>
      </c>
      <c r="N105">
        <v>11.6</v>
      </c>
      <c r="O105">
        <v>18.399999999999999</v>
      </c>
      <c r="P10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7.277000000000001</v>
      </c>
    </row>
    <row r="106" spans="1:16" x14ac:dyDescent="0.3">
      <c r="A106">
        <v>2021</v>
      </c>
      <c r="B106" t="s">
        <v>162</v>
      </c>
      <c r="C106" t="s">
        <v>226</v>
      </c>
      <c r="D106">
        <v>4323</v>
      </c>
      <c r="E106">
        <v>0.4</v>
      </c>
      <c r="F106">
        <v>0.4</v>
      </c>
      <c r="G106">
        <v>2.2999999999999998</v>
      </c>
      <c r="H106">
        <v>4.0999999999999996</v>
      </c>
      <c r="I106">
        <v>8</v>
      </c>
      <c r="J106">
        <v>10.7</v>
      </c>
      <c r="K106">
        <v>18</v>
      </c>
      <c r="L106">
        <v>26.2</v>
      </c>
      <c r="M106">
        <v>15.8</v>
      </c>
      <c r="N106">
        <v>14.1</v>
      </c>
      <c r="O106">
        <v>18.3</v>
      </c>
      <c r="P10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7.4749999999999996</v>
      </c>
    </row>
    <row r="107" spans="1:16" x14ac:dyDescent="0.3">
      <c r="A107">
        <v>2021</v>
      </c>
      <c r="B107" t="s">
        <v>163</v>
      </c>
      <c r="C107" t="s">
        <v>224</v>
      </c>
      <c r="D107">
        <v>10418</v>
      </c>
      <c r="E107">
        <v>0.9</v>
      </c>
      <c r="F107">
        <v>0.5</v>
      </c>
      <c r="G107">
        <v>1.9</v>
      </c>
      <c r="H107">
        <v>3.9</v>
      </c>
      <c r="I107">
        <v>8.1999999999999993</v>
      </c>
      <c r="J107">
        <v>11.1</v>
      </c>
      <c r="K107">
        <v>20.8</v>
      </c>
      <c r="L107">
        <v>27.8</v>
      </c>
      <c r="M107">
        <v>14.9</v>
      </c>
      <c r="N107">
        <v>9.9</v>
      </c>
      <c r="O107">
        <v>12.8</v>
      </c>
      <c r="P10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7.319</v>
      </c>
    </row>
    <row r="108" spans="1:16" x14ac:dyDescent="0.3">
      <c r="A108">
        <v>2021</v>
      </c>
      <c r="B108" t="s">
        <v>163</v>
      </c>
      <c r="C108" t="s">
        <v>225</v>
      </c>
      <c r="D108">
        <v>5819</v>
      </c>
      <c r="E108">
        <v>1</v>
      </c>
      <c r="F108">
        <v>0.5</v>
      </c>
      <c r="G108">
        <v>2.2000000000000002</v>
      </c>
      <c r="H108">
        <v>4.3</v>
      </c>
      <c r="I108">
        <v>8.8000000000000007</v>
      </c>
      <c r="J108">
        <v>12.7</v>
      </c>
      <c r="K108">
        <v>21.4</v>
      </c>
      <c r="L108">
        <v>26.3</v>
      </c>
      <c r="M108">
        <v>13.6</v>
      </c>
      <c r="N108">
        <v>9.1999999999999993</v>
      </c>
      <c r="O108">
        <v>12.7</v>
      </c>
      <c r="P10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7.2059999999999995</v>
      </c>
    </row>
    <row r="109" spans="1:16" x14ac:dyDescent="0.3">
      <c r="A109">
        <v>2021</v>
      </c>
      <c r="B109" t="s">
        <v>163</v>
      </c>
      <c r="C109" t="s">
        <v>226</v>
      </c>
      <c r="D109">
        <v>4599</v>
      </c>
      <c r="E109">
        <v>0.9</v>
      </c>
      <c r="F109">
        <v>0.3</v>
      </c>
      <c r="G109">
        <v>1.6</v>
      </c>
      <c r="H109">
        <v>3.4</v>
      </c>
      <c r="I109">
        <v>7.5</v>
      </c>
      <c r="J109">
        <v>9</v>
      </c>
      <c r="K109">
        <v>20</v>
      </c>
      <c r="L109">
        <v>29.8</v>
      </c>
      <c r="M109">
        <v>16.7</v>
      </c>
      <c r="N109">
        <v>10.8</v>
      </c>
      <c r="O109">
        <v>13.1</v>
      </c>
      <c r="P10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7.4809999999999999</v>
      </c>
    </row>
    <row r="110" spans="1:16" x14ac:dyDescent="0.3">
      <c r="A110">
        <v>2021</v>
      </c>
      <c r="B110" t="s">
        <v>164</v>
      </c>
      <c r="C110" t="s">
        <v>224</v>
      </c>
      <c r="D110">
        <v>10657</v>
      </c>
      <c r="E110">
        <v>0.5</v>
      </c>
      <c r="F110">
        <v>0.6</v>
      </c>
      <c r="G110">
        <v>1.9</v>
      </c>
      <c r="H110">
        <v>3.9</v>
      </c>
      <c r="I110">
        <v>9.5</v>
      </c>
      <c r="J110">
        <v>11.4</v>
      </c>
      <c r="K110">
        <v>21.8</v>
      </c>
      <c r="L110">
        <v>26.3</v>
      </c>
      <c r="M110">
        <v>15.1</v>
      </c>
      <c r="N110">
        <v>8.9</v>
      </c>
      <c r="O110">
        <v>10.8</v>
      </c>
      <c r="P11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7.2679999999999998</v>
      </c>
    </row>
    <row r="111" spans="1:16" x14ac:dyDescent="0.3">
      <c r="A111">
        <v>2021</v>
      </c>
      <c r="B111" t="s">
        <v>164</v>
      </c>
      <c r="C111" t="s">
        <v>225</v>
      </c>
      <c r="D111">
        <v>5909</v>
      </c>
      <c r="E111">
        <v>0.5</v>
      </c>
      <c r="F111">
        <v>0.7</v>
      </c>
      <c r="G111">
        <v>2.1</v>
      </c>
      <c r="H111">
        <v>4.5</v>
      </c>
      <c r="I111">
        <v>9.9</v>
      </c>
      <c r="J111">
        <v>12.6</v>
      </c>
      <c r="K111">
        <v>22.7</v>
      </c>
      <c r="L111">
        <v>25.2</v>
      </c>
      <c r="M111">
        <v>14</v>
      </c>
      <c r="N111">
        <v>7.8</v>
      </c>
      <c r="O111">
        <v>11.3</v>
      </c>
      <c r="P11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7.1580000000000004</v>
      </c>
    </row>
    <row r="112" spans="1:16" x14ac:dyDescent="0.3">
      <c r="A112">
        <v>2021</v>
      </c>
      <c r="B112" t="s">
        <v>164</v>
      </c>
      <c r="C112" t="s">
        <v>226</v>
      </c>
      <c r="D112">
        <v>4748</v>
      </c>
      <c r="E112">
        <v>0.4</v>
      </c>
      <c r="F112">
        <v>0.5</v>
      </c>
      <c r="G112">
        <v>1.6</v>
      </c>
      <c r="H112">
        <v>3.2</v>
      </c>
      <c r="I112">
        <v>9</v>
      </c>
      <c r="J112">
        <v>9.9</v>
      </c>
      <c r="K112">
        <v>20.8</v>
      </c>
      <c r="L112">
        <v>27.8</v>
      </c>
      <c r="M112">
        <v>16.399999999999999</v>
      </c>
      <c r="N112">
        <v>10.3</v>
      </c>
      <c r="O112">
        <v>10.199999999999999</v>
      </c>
      <c r="P11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7.42</v>
      </c>
    </row>
    <row r="113" spans="1:16" x14ac:dyDescent="0.3">
      <c r="A113">
        <v>2021</v>
      </c>
      <c r="B113" t="s">
        <v>124</v>
      </c>
      <c r="C113" t="s">
        <v>224</v>
      </c>
      <c r="D113">
        <v>10825</v>
      </c>
      <c r="E113">
        <v>0.8</v>
      </c>
      <c r="F113">
        <v>0.9</v>
      </c>
      <c r="G113">
        <v>1.8</v>
      </c>
      <c r="H113">
        <v>4.7</v>
      </c>
      <c r="I113">
        <v>9.8000000000000007</v>
      </c>
      <c r="J113">
        <v>11.5</v>
      </c>
      <c r="K113">
        <v>20.7</v>
      </c>
      <c r="L113">
        <v>25.1</v>
      </c>
      <c r="M113">
        <v>14.3</v>
      </c>
      <c r="N113">
        <v>10.3</v>
      </c>
      <c r="O113">
        <v>9.4</v>
      </c>
      <c r="P11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7.2220000000000004</v>
      </c>
    </row>
    <row r="114" spans="1:16" x14ac:dyDescent="0.3">
      <c r="A114">
        <v>2021</v>
      </c>
      <c r="B114" t="s">
        <v>124</v>
      </c>
      <c r="C114" t="s">
        <v>225</v>
      </c>
      <c r="D114">
        <v>6015</v>
      </c>
      <c r="E114">
        <v>0.9</v>
      </c>
      <c r="F114">
        <v>0.9</v>
      </c>
      <c r="G114">
        <v>2</v>
      </c>
      <c r="H114">
        <v>5.5</v>
      </c>
      <c r="I114">
        <v>10.199999999999999</v>
      </c>
      <c r="J114">
        <v>12.6</v>
      </c>
      <c r="K114">
        <v>21.4</v>
      </c>
      <c r="L114">
        <v>24</v>
      </c>
      <c r="M114">
        <v>13.3</v>
      </c>
      <c r="N114">
        <v>9.1999999999999993</v>
      </c>
      <c r="O114">
        <v>9.6999999999999993</v>
      </c>
      <c r="P11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7.1079999999999997</v>
      </c>
    </row>
    <row r="115" spans="1:16" x14ac:dyDescent="0.3">
      <c r="A115">
        <v>2021</v>
      </c>
      <c r="B115" t="s">
        <v>124</v>
      </c>
      <c r="C115" t="s">
        <v>226</v>
      </c>
      <c r="D115">
        <v>4810</v>
      </c>
      <c r="E115">
        <v>0.7</v>
      </c>
      <c r="F115">
        <v>0.9</v>
      </c>
      <c r="G115">
        <v>1.5</v>
      </c>
      <c r="H115">
        <v>3.7</v>
      </c>
      <c r="I115">
        <v>9.4</v>
      </c>
      <c r="J115">
        <v>10.1</v>
      </c>
      <c r="K115">
        <v>19.899999999999999</v>
      </c>
      <c r="L115">
        <v>26.4</v>
      </c>
      <c r="M115">
        <v>15.6</v>
      </c>
      <c r="N115">
        <v>11.7</v>
      </c>
      <c r="O115">
        <v>9.1</v>
      </c>
      <c r="P11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7.3729999999999993</v>
      </c>
    </row>
    <row r="116" spans="1:16" x14ac:dyDescent="0.3">
      <c r="A116">
        <v>2021</v>
      </c>
      <c r="B116" t="s">
        <v>125</v>
      </c>
      <c r="C116" t="s">
        <v>224</v>
      </c>
      <c r="D116">
        <v>11441</v>
      </c>
      <c r="E116">
        <v>0.2</v>
      </c>
      <c r="F116">
        <v>0.6</v>
      </c>
      <c r="G116">
        <v>1.8</v>
      </c>
      <c r="H116">
        <v>3.6</v>
      </c>
      <c r="I116">
        <v>8.1999999999999993</v>
      </c>
      <c r="J116">
        <v>9.4</v>
      </c>
      <c r="K116">
        <v>20.3</v>
      </c>
      <c r="L116">
        <v>27.2</v>
      </c>
      <c r="M116">
        <v>15.9</v>
      </c>
      <c r="N116">
        <v>12.9</v>
      </c>
      <c r="O116">
        <v>4.3</v>
      </c>
      <c r="P11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7.5040000000000004</v>
      </c>
    </row>
    <row r="117" spans="1:16" x14ac:dyDescent="0.3">
      <c r="A117">
        <v>2021</v>
      </c>
      <c r="B117" t="s">
        <v>125</v>
      </c>
      <c r="C117" t="s">
        <v>225</v>
      </c>
      <c r="D117">
        <v>6376</v>
      </c>
      <c r="E117">
        <v>0.2</v>
      </c>
      <c r="F117">
        <v>0.7</v>
      </c>
      <c r="G117">
        <v>1.9</v>
      </c>
      <c r="H117">
        <v>4.0999999999999996</v>
      </c>
      <c r="I117">
        <v>8.1999999999999993</v>
      </c>
      <c r="J117">
        <v>10.3</v>
      </c>
      <c r="K117">
        <v>21.5</v>
      </c>
      <c r="L117">
        <v>26.3</v>
      </c>
      <c r="M117">
        <v>14.9</v>
      </c>
      <c r="N117">
        <v>12</v>
      </c>
      <c r="O117">
        <v>4.3</v>
      </c>
      <c r="P11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7.4150000000000009</v>
      </c>
    </row>
    <row r="118" spans="1:16" x14ac:dyDescent="0.3">
      <c r="A118">
        <v>2021</v>
      </c>
      <c r="B118" t="s">
        <v>125</v>
      </c>
      <c r="C118" t="s">
        <v>226</v>
      </c>
      <c r="D118">
        <v>5065</v>
      </c>
      <c r="E118">
        <v>0.2</v>
      </c>
      <c r="F118">
        <v>0.4</v>
      </c>
      <c r="G118">
        <v>1.7</v>
      </c>
      <c r="H118">
        <v>2.9</v>
      </c>
      <c r="I118">
        <v>8.1999999999999993</v>
      </c>
      <c r="J118">
        <v>8.1</v>
      </c>
      <c r="K118">
        <v>18.7</v>
      </c>
      <c r="L118">
        <v>28.5</v>
      </c>
      <c r="M118">
        <v>17.2</v>
      </c>
      <c r="N118">
        <v>14.1</v>
      </c>
      <c r="O118">
        <v>4.3</v>
      </c>
      <c r="P11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7.62</v>
      </c>
    </row>
    <row r="119" spans="1:16" x14ac:dyDescent="0.3">
      <c r="A119">
        <v>2021</v>
      </c>
      <c r="B119" t="s">
        <v>165</v>
      </c>
      <c r="C119" t="s">
        <v>224</v>
      </c>
      <c r="D119">
        <v>10325</v>
      </c>
      <c r="E119">
        <v>0.5</v>
      </c>
      <c r="F119">
        <v>0.4</v>
      </c>
      <c r="G119">
        <v>0.8</v>
      </c>
      <c r="H119">
        <v>2.9</v>
      </c>
      <c r="I119">
        <v>7.7</v>
      </c>
      <c r="J119">
        <v>9.4</v>
      </c>
      <c r="K119">
        <v>19.5</v>
      </c>
      <c r="L119">
        <v>27.7</v>
      </c>
      <c r="M119">
        <v>16.8</v>
      </c>
      <c r="N119">
        <v>14.4</v>
      </c>
      <c r="O119">
        <v>13.6</v>
      </c>
      <c r="P11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7.6349999999999998</v>
      </c>
    </row>
    <row r="120" spans="1:16" x14ac:dyDescent="0.3">
      <c r="A120">
        <v>2021</v>
      </c>
      <c r="B120" t="s">
        <v>165</v>
      </c>
      <c r="C120" t="s">
        <v>225</v>
      </c>
      <c r="D120">
        <v>5730</v>
      </c>
      <c r="E120">
        <v>0.4</v>
      </c>
      <c r="F120">
        <v>0.3</v>
      </c>
      <c r="G120">
        <v>0.9</v>
      </c>
      <c r="H120">
        <v>3.3</v>
      </c>
      <c r="I120">
        <v>8.1</v>
      </c>
      <c r="J120">
        <v>10.1</v>
      </c>
      <c r="K120">
        <v>20.8</v>
      </c>
      <c r="L120">
        <v>26.7</v>
      </c>
      <c r="M120">
        <v>15.9</v>
      </c>
      <c r="N120">
        <v>13.3</v>
      </c>
      <c r="O120">
        <v>14</v>
      </c>
      <c r="P12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7.5330000000000004</v>
      </c>
    </row>
    <row r="121" spans="1:16" x14ac:dyDescent="0.3">
      <c r="A121">
        <v>2021</v>
      </c>
      <c r="B121" t="s">
        <v>165</v>
      </c>
      <c r="C121" t="s">
        <v>226</v>
      </c>
      <c r="D121">
        <v>4595</v>
      </c>
      <c r="E121">
        <v>0.5</v>
      </c>
      <c r="F121">
        <v>0.4</v>
      </c>
      <c r="G121">
        <v>0.6</v>
      </c>
      <c r="H121">
        <v>2.4</v>
      </c>
      <c r="I121">
        <v>7.1</v>
      </c>
      <c r="J121">
        <v>8.5</v>
      </c>
      <c r="K121">
        <v>18</v>
      </c>
      <c r="L121">
        <v>28.9</v>
      </c>
      <c r="M121">
        <v>18</v>
      </c>
      <c r="N121">
        <v>15.6</v>
      </c>
      <c r="O121">
        <v>13.1</v>
      </c>
      <c r="P12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7.7439999999999998</v>
      </c>
    </row>
    <row r="122" spans="1:16" x14ac:dyDescent="0.3">
      <c r="A122">
        <v>2021</v>
      </c>
      <c r="B122" t="s">
        <v>166</v>
      </c>
      <c r="C122" t="s">
        <v>224</v>
      </c>
      <c r="D122">
        <v>9876</v>
      </c>
      <c r="E122">
        <v>0.4</v>
      </c>
      <c r="F122">
        <v>0.2</v>
      </c>
      <c r="G122">
        <v>1.3</v>
      </c>
      <c r="H122">
        <v>3.5</v>
      </c>
      <c r="I122">
        <v>9.5</v>
      </c>
      <c r="J122">
        <v>11.9</v>
      </c>
      <c r="K122">
        <v>21.4</v>
      </c>
      <c r="L122">
        <v>26.6</v>
      </c>
      <c r="M122">
        <v>15.4</v>
      </c>
      <c r="N122">
        <v>9.8000000000000007</v>
      </c>
      <c r="O122">
        <v>17.399999999999999</v>
      </c>
      <c r="P12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7.3680000000000003</v>
      </c>
    </row>
    <row r="123" spans="1:16" x14ac:dyDescent="0.3">
      <c r="A123">
        <v>2021</v>
      </c>
      <c r="B123" t="s">
        <v>166</v>
      </c>
      <c r="C123" t="s">
        <v>225</v>
      </c>
      <c r="D123">
        <v>5455</v>
      </c>
      <c r="E123">
        <v>0.3</v>
      </c>
      <c r="F123">
        <v>0.2</v>
      </c>
      <c r="G123">
        <v>1.5</v>
      </c>
      <c r="H123">
        <v>4</v>
      </c>
      <c r="I123">
        <v>10.3</v>
      </c>
      <c r="J123">
        <v>12.9</v>
      </c>
      <c r="K123">
        <v>22.3</v>
      </c>
      <c r="L123">
        <v>25.6</v>
      </c>
      <c r="M123">
        <v>14.3</v>
      </c>
      <c r="N123">
        <v>8.5</v>
      </c>
      <c r="O123">
        <v>18.100000000000001</v>
      </c>
      <c r="P12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7.246999999999999</v>
      </c>
    </row>
    <row r="124" spans="1:16" x14ac:dyDescent="0.3">
      <c r="A124">
        <v>2021</v>
      </c>
      <c r="B124" t="s">
        <v>166</v>
      </c>
      <c r="C124" t="s">
        <v>226</v>
      </c>
      <c r="D124">
        <v>4421</v>
      </c>
      <c r="E124">
        <v>0.5</v>
      </c>
      <c r="F124">
        <v>0.2</v>
      </c>
      <c r="G124">
        <v>0.9</v>
      </c>
      <c r="H124">
        <v>2.9</v>
      </c>
      <c r="I124">
        <v>8.5</v>
      </c>
      <c r="J124">
        <v>10.6</v>
      </c>
      <c r="K124">
        <v>20.3</v>
      </c>
      <c r="L124">
        <v>27.8</v>
      </c>
      <c r="M124">
        <v>16.600000000000001</v>
      </c>
      <c r="N124">
        <v>11.4</v>
      </c>
      <c r="O124">
        <v>16.399999999999999</v>
      </c>
      <c r="P12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7.492</v>
      </c>
    </row>
    <row r="125" spans="1:16" x14ac:dyDescent="0.3">
      <c r="A125">
        <v>2021</v>
      </c>
      <c r="B125" t="s">
        <v>167</v>
      </c>
      <c r="C125" t="s">
        <v>224</v>
      </c>
      <c r="D125">
        <v>10883</v>
      </c>
      <c r="E125">
        <v>2</v>
      </c>
      <c r="F125">
        <v>1.2</v>
      </c>
      <c r="G125">
        <v>5.6</v>
      </c>
      <c r="H125">
        <v>8</v>
      </c>
      <c r="I125">
        <v>13.3</v>
      </c>
      <c r="J125">
        <v>13.4</v>
      </c>
      <c r="K125">
        <v>20.9</v>
      </c>
      <c r="L125">
        <v>20.2</v>
      </c>
      <c r="M125">
        <v>10</v>
      </c>
      <c r="N125">
        <v>5.3</v>
      </c>
      <c r="O125">
        <v>9</v>
      </c>
      <c r="P12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6.5100000000000007</v>
      </c>
    </row>
    <row r="126" spans="1:16" x14ac:dyDescent="0.3">
      <c r="A126">
        <v>2021</v>
      </c>
      <c r="B126" t="s">
        <v>167</v>
      </c>
      <c r="C126" t="s">
        <v>225</v>
      </c>
      <c r="D126">
        <v>6099</v>
      </c>
      <c r="E126">
        <v>2.2000000000000002</v>
      </c>
      <c r="F126">
        <v>1.3</v>
      </c>
      <c r="G126">
        <v>6</v>
      </c>
      <c r="H126">
        <v>8.6</v>
      </c>
      <c r="I126">
        <v>14.3</v>
      </c>
      <c r="J126">
        <v>14.1</v>
      </c>
      <c r="K126">
        <v>21.2</v>
      </c>
      <c r="L126">
        <v>18.5</v>
      </c>
      <c r="M126">
        <v>9.1999999999999993</v>
      </c>
      <c r="N126">
        <v>4.7</v>
      </c>
      <c r="O126">
        <v>8.5</v>
      </c>
      <c r="P12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6.3949999999999996</v>
      </c>
    </row>
    <row r="127" spans="1:16" x14ac:dyDescent="0.3">
      <c r="A127">
        <v>2021</v>
      </c>
      <c r="B127" t="s">
        <v>167</v>
      </c>
      <c r="C127" t="s">
        <v>226</v>
      </c>
      <c r="D127">
        <v>4784</v>
      </c>
      <c r="E127">
        <v>1.8</v>
      </c>
      <c r="F127">
        <v>1.1000000000000001</v>
      </c>
      <c r="G127">
        <v>5.2</v>
      </c>
      <c r="H127">
        <v>7.1</v>
      </c>
      <c r="I127">
        <v>12</v>
      </c>
      <c r="J127">
        <v>12.5</v>
      </c>
      <c r="K127">
        <v>20.6</v>
      </c>
      <c r="L127">
        <v>22.4</v>
      </c>
      <c r="M127">
        <v>11.1</v>
      </c>
      <c r="N127">
        <v>6.1</v>
      </c>
      <c r="O127">
        <v>9.6</v>
      </c>
      <c r="P12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6.673</v>
      </c>
    </row>
    <row r="128" spans="1:16" x14ac:dyDescent="0.3">
      <c r="A128">
        <v>2021</v>
      </c>
      <c r="B128" t="s">
        <v>168</v>
      </c>
      <c r="C128" t="s">
        <v>224</v>
      </c>
      <c r="D128">
        <v>10897</v>
      </c>
      <c r="E128">
        <v>0.6</v>
      </c>
      <c r="F128">
        <v>0.7</v>
      </c>
      <c r="G128">
        <v>3.1</v>
      </c>
      <c r="H128">
        <v>6</v>
      </c>
      <c r="I128">
        <v>10.5</v>
      </c>
      <c r="J128">
        <v>11.6</v>
      </c>
      <c r="K128">
        <v>19.899999999999999</v>
      </c>
      <c r="L128">
        <v>24.9</v>
      </c>
      <c r="M128">
        <v>13.6</v>
      </c>
      <c r="N128">
        <v>9.3000000000000007</v>
      </c>
      <c r="O128">
        <v>8.8000000000000007</v>
      </c>
      <c r="P12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7.1129999999999995</v>
      </c>
    </row>
    <row r="129" spans="1:16" x14ac:dyDescent="0.3">
      <c r="A129">
        <v>2021</v>
      </c>
      <c r="B129" t="s">
        <v>168</v>
      </c>
      <c r="C129" t="s">
        <v>225</v>
      </c>
      <c r="D129">
        <v>6109</v>
      </c>
      <c r="E129">
        <v>0.6</v>
      </c>
      <c r="F129">
        <v>0.7</v>
      </c>
      <c r="G129">
        <v>3</v>
      </c>
      <c r="H129">
        <v>6.5</v>
      </c>
      <c r="I129">
        <v>11.7</v>
      </c>
      <c r="J129">
        <v>12.4</v>
      </c>
      <c r="K129">
        <v>20.6</v>
      </c>
      <c r="L129">
        <v>23.2</v>
      </c>
      <c r="M129">
        <v>12.7</v>
      </c>
      <c r="N129">
        <v>8.6</v>
      </c>
      <c r="O129">
        <v>8.3000000000000007</v>
      </c>
      <c r="P12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</v>
      </c>
    </row>
    <row r="130" spans="1:16" x14ac:dyDescent="0.3">
      <c r="A130">
        <v>2021</v>
      </c>
      <c r="B130" t="s">
        <v>168</v>
      </c>
      <c r="C130" t="s">
        <v>226</v>
      </c>
      <c r="D130">
        <v>4788</v>
      </c>
      <c r="E130">
        <v>0.5</v>
      </c>
      <c r="F130">
        <v>0.6</v>
      </c>
      <c r="G130">
        <v>3.2</v>
      </c>
      <c r="H130">
        <v>5.3</v>
      </c>
      <c r="I130">
        <v>9</v>
      </c>
      <c r="J130">
        <v>10.6</v>
      </c>
      <c r="K130">
        <v>19</v>
      </c>
      <c r="L130">
        <v>27</v>
      </c>
      <c r="M130">
        <v>14.7</v>
      </c>
      <c r="N130">
        <v>10.1</v>
      </c>
      <c r="O130">
        <v>9.5</v>
      </c>
      <c r="P13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7.2339999999999991</v>
      </c>
    </row>
    <row r="131" spans="1:16" x14ac:dyDescent="0.3">
      <c r="A131">
        <v>2021</v>
      </c>
      <c r="B131" t="s">
        <v>169</v>
      </c>
      <c r="C131" t="s">
        <v>224</v>
      </c>
      <c r="D131">
        <v>10875</v>
      </c>
      <c r="E131">
        <v>0.3</v>
      </c>
      <c r="F131">
        <v>0.7</v>
      </c>
      <c r="G131">
        <v>2.7</v>
      </c>
      <c r="H131">
        <v>6</v>
      </c>
      <c r="I131">
        <v>10.4</v>
      </c>
      <c r="J131">
        <v>10.199999999999999</v>
      </c>
      <c r="K131">
        <v>19</v>
      </c>
      <c r="L131">
        <v>25.4</v>
      </c>
      <c r="M131">
        <v>13.5</v>
      </c>
      <c r="N131">
        <v>11.9</v>
      </c>
      <c r="O131">
        <v>9</v>
      </c>
      <c r="P13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7.2370000000000001</v>
      </c>
    </row>
    <row r="132" spans="1:16" x14ac:dyDescent="0.3">
      <c r="A132">
        <v>2021</v>
      </c>
      <c r="B132" t="s">
        <v>169</v>
      </c>
      <c r="C132" t="s">
        <v>225</v>
      </c>
      <c r="D132">
        <v>6086</v>
      </c>
      <c r="E132">
        <v>0.3</v>
      </c>
      <c r="F132">
        <v>0.6</v>
      </c>
      <c r="G132">
        <v>2.6</v>
      </c>
      <c r="H132">
        <v>6.5</v>
      </c>
      <c r="I132">
        <v>11.6</v>
      </c>
      <c r="J132">
        <v>10.6</v>
      </c>
      <c r="K132">
        <v>19.600000000000001</v>
      </c>
      <c r="L132">
        <v>23.7</v>
      </c>
      <c r="M132">
        <v>13.1</v>
      </c>
      <c r="N132">
        <v>11.3</v>
      </c>
      <c r="O132">
        <v>8.6999999999999993</v>
      </c>
      <c r="P13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7.1459999999999999</v>
      </c>
    </row>
    <row r="133" spans="1:16" x14ac:dyDescent="0.3">
      <c r="A133">
        <v>2021</v>
      </c>
      <c r="B133" t="s">
        <v>169</v>
      </c>
      <c r="C133" t="s">
        <v>226</v>
      </c>
      <c r="D133">
        <v>4789</v>
      </c>
      <c r="E133">
        <v>0.4</v>
      </c>
      <c r="F133">
        <v>0.8</v>
      </c>
      <c r="G133">
        <v>2.8</v>
      </c>
      <c r="H133">
        <v>5.3</v>
      </c>
      <c r="I133">
        <v>8.9</v>
      </c>
      <c r="J133">
        <v>9.6</v>
      </c>
      <c r="K133">
        <v>18.2</v>
      </c>
      <c r="L133">
        <v>27.5</v>
      </c>
      <c r="M133">
        <v>14.1</v>
      </c>
      <c r="N133">
        <v>12.6</v>
      </c>
      <c r="O133">
        <v>9.5</v>
      </c>
      <c r="P13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7.34</v>
      </c>
    </row>
    <row r="134" spans="1:16" x14ac:dyDescent="0.3">
      <c r="A134">
        <v>2021</v>
      </c>
      <c r="B134" t="s">
        <v>170</v>
      </c>
      <c r="C134" t="s">
        <v>224</v>
      </c>
      <c r="D134">
        <v>11451</v>
      </c>
      <c r="E134">
        <v>0.7</v>
      </c>
      <c r="F134">
        <v>0.8</v>
      </c>
      <c r="G134">
        <v>1.3</v>
      </c>
      <c r="H134">
        <v>2.8</v>
      </c>
      <c r="I134">
        <v>5.4</v>
      </c>
      <c r="J134">
        <v>7.8</v>
      </c>
      <c r="K134">
        <v>15.5</v>
      </c>
      <c r="L134">
        <v>26.6</v>
      </c>
      <c r="M134">
        <v>17.7</v>
      </c>
      <c r="N134">
        <v>21.4</v>
      </c>
      <c r="O134">
        <v>4.2</v>
      </c>
      <c r="P13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7.8580000000000005</v>
      </c>
    </row>
    <row r="135" spans="1:16" x14ac:dyDescent="0.3">
      <c r="A135">
        <v>2021</v>
      </c>
      <c r="B135" t="s">
        <v>170</v>
      </c>
      <c r="C135" t="s">
        <v>225</v>
      </c>
      <c r="D135">
        <v>6392</v>
      </c>
      <c r="E135">
        <v>0.7</v>
      </c>
      <c r="F135">
        <v>0.8</v>
      </c>
      <c r="G135">
        <v>1.4</v>
      </c>
      <c r="H135">
        <v>3.2</v>
      </c>
      <c r="I135">
        <v>5.6</v>
      </c>
      <c r="J135">
        <v>8.6999999999999993</v>
      </c>
      <c r="K135">
        <v>16.600000000000001</v>
      </c>
      <c r="L135">
        <v>26.3</v>
      </c>
      <c r="M135">
        <v>17</v>
      </c>
      <c r="N135">
        <v>19.8</v>
      </c>
      <c r="O135">
        <v>4.0999999999999996</v>
      </c>
      <c r="P13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7.7710000000000008</v>
      </c>
    </row>
    <row r="136" spans="1:16" x14ac:dyDescent="0.3">
      <c r="A136">
        <v>2021</v>
      </c>
      <c r="B136" t="s">
        <v>170</v>
      </c>
      <c r="C136" t="s">
        <v>226</v>
      </c>
      <c r="D136">
        <v>5059</v>
      </c>
      <c r="E136">
        <v>0.7</v>
      </c>
      <c r="F136">
        <v>0.7</v>
      </c>
      <c r="G136">
        <v>1.2</v>
      </c>
      <c r="H136">
        <v>2.4</v>
      </c>
      <c r="I136">
        <v>5.2</v>
      </c>
      <c r="J136">
        <v>6.6</v>
      </c>
      <c r="K136">
        <v>14.2</v>
      </c>
      <c r="L136">
        <v>26.9</v>
      </c>
      <c r="M136">
        <v>18.7</v>
      </c>
      <c r="N136">
        <v>23.4</v>
      </c>
      <c r="O136">
        <v>4.4000000000000004</v>
      </c>
      <c r="P13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7.9779999999999998</v>
      </c>
    </row>
    <row r="137" spans="1:16" x14ac:dyDescent="0.3">
      <c r="A137">
        <v>2022</v>
      </c>
      <c r="B137" t="s">
        <v>118</v>
      </c>
      <c r="C137" t="s">
        <v>224</v>
      </c>
      <c r="D137">
        <v>11893</v>
      </c>
      <c r="E137">
        <v>0</v>
      </c>
      <c r="F137">
        <v>0</v>
      </c>
      <c r="G137">
        <v>0.1</v>
      </c>
      <c r="H137">
        <v>2</v>
      </c>
      <c r="I137">
        <v>4.8</v>
      </c>
      <c r="J137">
        <v>11.3</v>
      </c>
      <c r="K137">
        <v>39.6</v>
      </c>
      <c r="L137">
        <v>18.100000000000001</v>
      </c>
      <c r="M137">
        <v>11.9</v>
      </c>
      <c r="N137">
        <v>12</v>
      </c>
      <c r="O137">
        <v>0.3</v>
      </c>
      <c r="P13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7.492</v>
      </c>
    </row>
    <row r="138" spans="1:16" x14ac:dyDescent="0.3">
      <c r="A138">
        <v>2022</v>
      </c>
      <c r="B138" t="s">
        <v>118</v>
      </c>
      <c r="C138" t="s">
        <v>225</v>
      </c>
      <c r="D138">
        <v>6368</v>
      </c>
      <c r="E138">
        <v>0</v>
      </c>
      <c r="F138">
        <v>0</v>
      </c>
      <c r="G138">
        <v>0.1</v>
      </c>
      <c r="H138">
        <v>2</v>
      </c>
      <c r="I138">
        <v>5.3</v>
      </c>
      <c r="J138">
        <v>13</v>
      </c>
      <c r="K138">
        <v>37.299999999999997</v>
      </c>
      <c r="L138">
        <v>19.399999999999999</v>
      </c>
      <c r="M138">
        <v>11.4</v>
      </c>
      <c r="N138">
        <v>11.4</v>
      </c>
      <c r="O138">
        <v>0.3</v>
      </c>
      <c r="P13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7.456999999999999</v>
      </c>
    </row>
    <row r="139" spans="1:16" x14ac:dyDescent="0.3">
      <c r="A139">
        <v>2022</v>
      </c>
      <c r="B139" t="s">
        <v>118</v>
      </c>
      <c r="C139" t="s">
        <v>226</v>
      </c>
      <c r="D139">
        <v>5525</v>
      </c>
      <c r="E139">
        <v>0</v>
      </c>
      <c r="F139">
        <v>0</v>
      </c>
      <c r="G139">
        <v>0.1</v>
      </c>
      <c r="H139">
        <v>2.1</v>
      </c>
      <c r="I139">
        <v>4.2</v>
      </c>
      <c r="J139">
        <v>9.4</v>
      </c>
      <c r="K139">
        <v>42.3</v>
      </c>
      <c r="L139">
        <v>16.7</v>
      </c>
      <c r="M139">
        <v>12.5</v>
      </c>
      <c r="N139">
        <v>12.7</v>
      </c>
      <c r="O139">
        <v>0.3</v>
      </c>
      <c r="P13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7.552999999999999</v>
      </c>
    </row>
    <row r="140" spans="1:16" x14ac:dyDescent="0.3">
      <c r="A140">
        <v>2022</v>
      </c>
      <c r="B140" t="s">
        <v>126</v>
      </c>
      <c r="C140" t="s">
        <v>224</v>
      </c>
      <c r="D140">
        <v>11896</v>
      </c>
      <c r="E140">
        <v>0.1</v>
      </c>
      <c r="F140">
        <v>0.1</v>
      </c>
      <c r="G140">
        <v>0.4</v>
      </c>
      <c r="H140">
        <v>2.9</v>
      </c>
      <c r="I140">
        <v>6.2</v>
      </c>
      <c r="J140">
        <v>11.2</v>
      </c>
      <c r="K140">
        <v>26.7</v>
      </c>
      <c r="L140">
        <v>25.8</v>
      </c>
      <c r="M140">
        <v>16</v>
      </c>
      <c r="N140">
        <v>10.7</v>
      </c>
      <c r="O140">
        <v>0.3</v>
      </c>
      <c r="P14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7.5560000000000009</v>
      </c>
    </row>
    <row r="141" spans="1:16" x14ac:dyDescent="0.3">
      <c r="A141">
        <v>2022</v>
      </c>
      <c r="B141" t="s">
        <v>126</v>
      </c>
      <c r="C141" t="s">
        <v>225</v>
      </c>
      <c r="D141">
        <v>6368</v>
      </c>
      <c r="E141">
        <v>0.1</v>
      </c>
      <c r="F141">
        <v>0</v>
      </c>
      <c r="G141">
        <v>0.4</v>
      </c>
      <c r="H141">
        <v>2.6</v>
      </c>
      <c r="I141">
        <v>6.8</v>
      </c>
      <c r="J141">
        <v>12.4</v>
      </c>
      <c r="K141">
        <v>26.9</v>
      </c>
      <c r="L141">
        <v>26</v>
      </c>
      <c r="M141">
        <v>15.3</v>
      </c>
      <c r="N141">
        <v>9.4</v>
      </c>
      <c r="O141">
        <v>0.3</v>
      </c>
      <c r="P14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7.4809999999999999</v>
      </c>
    </row>
    <row r="142" spans="1:16" x14ac:dyDescent="0.3">
      <c r="A142">
        <v>2022</v>
      </c>
      <c r="B142" t="s">
        <v>126</v>
      </c>
      <c r="C142" t="s">
        <v>226</v>
      </c>
      <c r="D142">
        <v>5528</v>
      </c>
      <c r="E142">
        <v>0</v>
      </c>
      <c r="F142">
        <v>0.1</v>
      </c>
      <c r="G142">
        <v>0.3</v>
      </c>
      <c r="H142">
        <v>3.3</v>
      </c>
      <c r="I142">
        <v>5.6</v>
      </c>
      <c r="J142">
        <v>9.6999999999999993</v>
      </c>
      <c r="K142">
        <v>26.4</v>
      </c>
      <c r="L142">
        <v>25.5</v>
      </c>
      <c r="M142">
        <v>16.899999999999999</v>
      </c>
      <c r="N142">
        <v>12.2</v>
      </c>
      <c r="O142">
        <v>0.3</v>
      </c>
      <c r="P14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7.6339999999999995</v>
      </c>
    </row>
    <row r="143" spans="1:16" x14ac:dyDescent="0.3">
      <c r="A143">
        <v>2022</v>
      </c>
      <c r="B143" t="s">
        <v>127</v>
      </c>
      <c r="C143" t="s">
        <v>224</v>
      </c>
      <c r="D143">
        <v>11913</v>
      </c>
      <c r="E143">
        <v>0.4</v>
      </c>
      <c r="F143">
        <v>0.5</v>
      </c>
      <c r="G143">
        <v>2.2000000000000002</v>
      </c>
      <c r="H143">
        <v>5.0999999999999996</v>
      </c>
      <c r="I143">
        <v>8.4</v>
      </c>
      <c r="J143">
        <v>11.5</v>
      </c>
      <c r="K143">
        <v>22.6</v>
      </c>
      <c r="L143">
        <v>24.3</v>
      </c>
      <c r="M143">
        <v>14.8</v>
      </c>
      <c r="N143">
        <v>10.1</v>
      </c>
      <c r="O143">
        <v>0.2</v>
      </c>
      <c r="P14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7.2619999999999996</v>
      </c>
    </row>
    <row r="144" spans="1:16" x14ac:dyDescent="0.3">
      <c r="A144">
        <v>2022</v>
      </c>
      <c r="B144" t="s">
        <v>127</v>
      </c>
      <c r="C144" t="s">
        <v>225</v>
      </c>
      <c r="D144">
        <v>6377</v>
      </c>
      <c r="E144">
        <v>0.5</v>
      </c>
      <c r="F144">
        <v>0.5</v>
      </c>
      <c r="G144">
        <v>2.2999999999999998</v>
      </c>
      <c r="H144">
        <v>5.2</v>
      </c>
      <c r="I144">
        <v>8.6999999999999993</v>
      </c>
      <c r="J144">
        <v>12.5</v>
      </c>
      <c r="K144">
        <v>23.2</v>
      </c>
      <c r="L144">
        <v>24</v>
      </c>
      <c r="M144">
        <v>14</v>
      </c>
      <c r="N144">
        <v>9.1</v>
      </c>
      <c r="O144">
        <v>0.2</v>
      </c>
      <c r="P14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7.1909999999999998</v>
      </c>
    </row>
    <row r="145" spans="1:16" x14ac:dyDescent="0.3">
      <c r="A145">
        <v>2022</v>
      </c>
      <c r="B145" t="s">
        <v>127</v>
      </c>
      <c r="C145" t="s">
        <v>226</v>
      </c>
      <c r="D145">
        <v>5536</v>
      </c>
      <c r="E145">
        <v>0.4</v>
      </c>
      <c r="F145">
        <v>0.4</v>
      </c>
      <c r="G145">
        <v>2.1</v>
      </c>
      <c r="H145">
        <v>4.9000000000000004</v>
      </c>
      <c r="I145">
        <v>8.1</v>
      </c>
      <c r="J145">
        <v>10.5</v>
      </c>
      <c r="K145">
        <v>21.9</v>
      </c>
      <c r="L145">
        <v>24.6</v>
      </c>
      <c r="M145">
        <v>15.7</v>
      </c>
      <c r="N145">
        <v>11.3</v>
      </c>
      <c r="O145">
        <v>0.1</v>
      </c>
      <c r="P14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7.3500000000000005</v>
      </c>
    </row>
    <row r="146" spans="1:16" x14ac:dyDescent="0.3">
      <c r="A146">
        <v>2022</v>
      </c>
      <c r="B146" t="s">
        <v>128</v>
      </c>
      <c r="C146" t="s">
        <v>224</v>
      </c>
      <c r="D146">
        <v>11504</v>
      </c>
      <c r="E146">
        <v>0.1</v>
      </c>
      <c r="F146">
        <v>0.1</v>
      </c>
      <c r="G146">
        <v>0.3</v>
      </c>
      <c r="H146">
        <v>5.7</v>
      </c>
      <c r="I146">
        <v>9.8000000000000007</v>
      </c>
      <c r="J146">
        <v>15.9</v>
      </c>
      <c r="K146">
        <v>34.799999999999997</v>
      </c>
      <c r="L146">
        <v>17.2</v>
      </c>
      <c r="M146">
        <v>10.1</v>
      </c>
      <c r="N146">
        <v>6.1</v>
      </c>
      <c r="O146">
        <v>3.6</v>
      </c>
      <c r="P14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7.0149999999999988</v>
      </c>
    </row>
    <row r="147" spans="1:16" x14ac:dyDescent="0.3">
      <c r="A147">
        <v>2022</v>
      </c>
      <c r="B147" t="s">
        <v>128</v>
      </c>
      <c r="C147" t="s">
        <v>225</v>
      </c>
      <c r="D147">
        <v>6160</v>
      </c>
      <c r="E147">
        <v>0.1</v>
      </c>
      <c r="F147">
        <v>0.1</v>
      </c>
      <c r="G147">
        <v>0.4</v>
      </c>
      <c r="H147">
        <v>6</v>
      </c>
      <c r="I147">
        <v>10</v>
      </c>
      <c r="J147">
        <v>16.8</v>
      </c>
      <c r="K147">
        <v>34.200000000000003</v>
      </c>
      <c r="L147">
        <v>17.7</v>
      </c>
      <c r="M147">
        <v>9.4</v>
      </c>
      <c r="N147">
        <v>5.3</v>
      </c>
      <c r="O147">
        <v>3.6</v>
      </c>
      <c r="P14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6.9490000000000007</v>
      </c>
    </row>
    <row r="148" spans="1:16" x14ac:dyDescent="0.3">
      <c r="A148">
        <v>2022</v>
      </c>
      <c r="B148" t="s">
        <v>128</v>
      </c>
      <c r="C148" t="s">
        <v>226</v>
      </c>
      <c r="D148">
        <v>5344</v>
      </c>
      <c r="E148">
        <v>0</v>
      </c>
      <c r="F148">
        <v>0.1</v>
      </c>
      <c r="G148">
        <v>0.2</v>
      </c>
      <c r="H148">
        <v>5.3</v>
      </c>
      <c r="I148">
        <v>9.4</v>
      </c>
      <c r="J148">
        <v>14.9</v>
      </c>
      <c r="K148">
        <v>35.4</v>
      </c>
      <c r="L148">
        <v>16.8</v>
      </c>
      <c r="M148">
        <v>11</v>
      </c>
      <c r="N148">
        <v>6.9</v>
      </c>
      <c r="O148">
        <v>3.6</v>
      </c>
      <c r="P14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7.0860000000000003</v>
      </c>
    </row>
    <row r="149" spans="1:16" x14ac:dyDescent="0.3">
      <c r="A149">
        <v>2022</v>
      </c>
      <c r="B149" t="s">
        <v>171</v>
      </c>
      <c r="C149" t="s">
        <v>224</v>
      </c>
      <c r="D149">
        <v>9740</v>
      </c>
      <c r="E149">
        <v>0.2</v>
      </c>
      <c r="F149">
        <v>0.1</v>
      </c>
      <c r="G149">
        <v>0.9</v>
      </c>
      <c r="H149">
        <v>2</v>
      </c>
      <c r="I149">
        <v>5.2</v>
      </c>
      <c r="J149">
        <v>7.6</v>
      </c>
      <c r="K149">
        <v>18.899999999999999</v>
      </c>
      <c r="L149">
        <v>31.8</v>
      </c>
      <c r="M149">
        <v>17.399999999999999</v>
      </c>
      <c r="N149">
        <v>15.8</v>
      </c>
      <c r="O149">
        <v>18.399999999999999</v>
      </c>
      <c r="P14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7.839999999999999</v>
      </c>
    </row>
    <row r="150" spans="1:16" x14ac:dyDescent="0.3">
      <c r="A150">
        <v>2022</v>
      </c>
      <c r="B150" t="s">
        <v>171</v>
      </c>
      <c r="C150" t="s">
        <v>225</v>
      </c>
      <c r="D150">
        <v>5161</v>
      </c>
      <c r="E150">
        <v>0.3</v>
      </c>
      <c r="F150">
        <v>0.1</v>
      </c>
      <c r="G150">
        <v>0.9</v>
      </c>
      <c r="H150">
        <v>2</v>
      </c>
      <c r="I150">
        <v>5.5</v>
      </c>
      <c r="J150">
        <v>8.1999999999999993</v>
      </c>
      <c r="K150">
        <v>19.3</v>
      </c>
      <c r="L150">
        <v>32.200000000000003</v>
      </c>
      <c r="M150">
        <v>16.8</v>
      </c>
      <c r="N150">
        <v>14.7</v>
      </c>
      <c r="O150">
        <v>19.2</v>
      </c>
      <c r="P15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7.7880000000000003</v>
      </c>
    </row>
    <row r="151" spans="1:16" x14ac:dyDescent="0.3">
      <c r="A151">
        <v>2022</v>
      </c>
      <c r="B151" t="s">
        <v>171</v>
      </c>
      <c r="C151" t="s">
        <v>226</v>
      </c>
      <c r="D151">
        <v>4579</v>
      </c>
      <c r="E151">
        <v>0.2</v>
      </c>
      <c r="F151">
        <v>0.1</v>
      </c>
      <c r="G151">
        <v>0.9</v>
      </c>
      <c r="H151">
        <v>2.1</v>
      </c>
      <c r="I151">
        <v>4.8</v>
      </c>
      <c r="J151">
        <v>7</v>
      </c>
      <c r="K151">
        <v>18.399999999999999</v>
      </c>
      <c r="L151">
        <v>31.4</v>
      </c>
      <c r="M151">
        <v>18</v>
      </c>
      <c r="N151">
        <v>17.100000000000001</v>
      </c>
      <c r="O151">
        <v>17.399999999999999</v>
      </c>
      <c r="P15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7.9049999999999994</v>
      </c>
    </row>
    <row r="152" spans="1:16" x14ac:dyDescent="0.3">
      <c r="A152">
        <v>2022</v>
      </c>
      <c r="B152" t="s">
        <v>172</v>
      </c>
      <c r="C152" t="s">
        <v>224</v>
      </c>
      <c r="D152">
        <v>11892</v>
      </c>
      <c r="E152">
        <v>0.1</v>
      </c>
      <c r="F152">
        <v>0</v>
      </c>
      <c r="G152">
        <v>0.3</v>
      </c>
      <c r="H152">
        <v>1</v>
      </c>
      <c r="I152">
        <v>1.8</v>
      </c>
      <c r="J152">
        <v>3.5</v>
      </c>
      <c r="K152">
        <v>10.1</v>
      </c>
      <c r="L152">
        <v>24.5</v>
      </c>
      <c r="M152">
        <v>22.2</v>
      </c>
      <c r="N152">
        <v>36.5</v>
      </c>
      <c r="O152">
        <v>0.4</v>
      </c>
      <c r="P15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8.6649999999999991</v>
      </c>
    </row>
    <row r="153" spans="1:16" x14ac:dyDescent="0.3">
      <c r="A153">
        <v>2022</v>
      </c>
      <c r="B153" t="s">
        <v>172</v>
      </c>
      <c r="C153" t="s">
        <v>225</v>
      </c>
      <c r="D153">
        <v>6366</v>
      </c>
      <c r="E153">
        <v>0.1</v>
      </c>
      <c r="F153">
        <v>0.1</v>
      </c>
      <c r="G153">
        <v>0.4</v>
      </c>
      <c r="H153">
        <v>1.1000000000000001</v>
      </c>
      <c r="I153">
        <v>1.9</v>
      </c>
      <c r="J153">
        <v>4.0999999999999996</v>
      </c>
      <c r="K153">
        <v>10.8</v>
      </c>
      <c r="L153">
        <v>25.4</v>
      </c>
      <c r="M153">
        <v>22.6</v>
      </c>
      <c r="N153">
        <v>33.6</v>
      </c>
      <c r="O153">
        <v>0.4</v>
      </c>
      <c r="P15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8.5820000000000007</v>
      </c>
    </row>
    <row r="154" spans="1:16" x14ac:dyDescent="0.3">
      <c r="A154">
        <v>2022</v>
      </c>
      <c r="B154" t="s">
        <v>172</v>
      </c>
      <c r="C154" t="s">
        <v>226</v>
      </c>
      <c r="D154">
        <v>5526</v>
      </c>
      <c r="E154">
        <v>0.1</v>
      </c>
      <c r="F154">
        <v>0</v>
      </c>
      <c r="G154">
        <v>0.1</v>
      </c>
      <c r="H154">
        <v>0.9</v>
      </c>
      <c r="I154">
        <v>1.6</v>
      </c>
      <c r="J154">
        <v>2.8</v>
      </c>
      <c r="K154">
        <v>9.1999999999999993</v>
      </c>
      <c r="L154">
        <v>23.5</v>
      </c>
      <c r="M154">
        <v>21.8</v>
      </c>
      <c r="N154">
        <v>40</v>
      </c>
      <c r="O154">
        <v>0.3</v>
      </c>
      <c r="P15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8.7740000000000009</v>
      </c>
    </row>
    <row r="155" spans="1:16" x14ac:dyDescent="0.3">
      <c r="A155">
        <v>2022</v>
      </c>
      <c r="B155" t="s">
        <v>173</v>
      </c>
      <c r="C155" t="s">
        <v>224</v>
      </c>
      <c r="D155">
        <v>11753</v>
      </c>
      <c r="E155">
        <v>0.1</v>
      </c>
      <c r="F155">
        <v>0.1</v>
      </c>
      <c r="G155">
        <v>0.5</v>
      </c>
      <c r="H155">
        <v>1.7</v>
      </c>
      <c r="I155">
        <v>2.6</v>
      </c>
      <c r="J155">
        <v>4.4000000000000004</v>
      </c>
      <c r="K155">
        <v>10.8</v>
      </c>
      <c r="L155">
        <v>25.5</v>
      </c>
      <c r="M155">
        <v>21.8</v>
      </c>
      <c r="N155">
        <v>32.4</v>
      </c>
      <c r="O155">
        <v>1.5</v>
      </c>
      <c r="P15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8.4780000000000015</v>
      </c>
    </row>
    <row r="156" spans="1:16" x14ac:dyDescent="0.3">
      <c r="A156">
        <v>2022</v>
      </c>
      <c r="B156" t="s">
        <v>173</v>
      </c>
      <c r="C156" t="s">
        <v>225</v>
      </c>
      <c r="D156">
        <v>6285</v>
      </c>
      <c r="E156">
        <v>0.2</v>
      </c>
      <c r="F156">
        <v>0.2</v>
      </c>
      <c r="G156">
        <v>0.6</v>
      </c>
      <c r="H156">
        <v>1.7</v>
      </c>
      <c r="I156">
        <v>2.8</v>
      </c>
      <c r="J156">
        <v>5.0999999999999996</v>
      </c>
      <c r="K156">
        <v>11.8</v>
      </c>
      <c r="L156">
        <v>26.2</v>
      </c>
      <c r="M156">
        <v>21.7</v>
      </c>
      <c r="N156">
        <v>30</v>
      </c>
      <c r="O156">
        <v>1.6</v>
      </c>
      <c r="P15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8.4130000000000003</v>
      </c>
    </row>
    <row r="157" spans="1:16" x14ac:dyDescent="0.3">
      <c r="A157">
        <v>2022</v>
      </c>
      <c r="B157" t="s">
        <v>173</v>
      </c>
      <c r="C157" t="s">
        <v>226</v>
      </c>
      <c r="D157">
        <v>5468</v>
      </c>
      <c r="E157">
        <v>0.1</v>
      </c>
      <c r="F157">
        <v>0</v>
      </c>
      <c r="G157">
        <v>0.4</v>
      </c>
      <c r="H157">
        <v>1.6</v>
      </c>
      <c r="I157">
        <v>2.5</v>
      </c>
      <c r="J157">
        <v>3.6</v>
      </c>
      <c r="K157">
        <v>9.6999999999999993</v>
      </c>
      <c r="L157">
        <v>24.8</v>
      </c>
      <c r="M157">
        <v>22</v>
      </c>
      <c r="N157">
        <v>35.299999999999997</v>
      </c>
      <c r="O157">
        <v>1.4</v>
      </c>
      <c r="P15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8.5909999999999993</v>
      </c>
    </row>
    <row r="158" spans="1:16" x14ac:dyDescent="0.3">
      <c r="A158">
        <v>2022</v>
      </c>
      <c r="B158" t="s">
        <v>174</v>
      </c>
      <c r="C158" t="s">
        <v>224</v>
      </c>
      <c r="D158">
        <v>9475</v>
      </c>
      <c r="E158">
        <v>0.3</v>
      </c>
      <c r="F158">
        <v>0.2</v>
      </c>
      <c r="G158">
        <v>0.6</v>
      </c>
      <c r="H158">
        <v>1.9</v>
      </c>
      <c r="I158">
        <v>3</v>
      </c>
      <c r="J158">
        <v>5.2</v>
      </c>
      <c r="K158">
        <v>12.6</v>
      </c>
      <c r="L158">
        <v>26.7</v>
      </c>
      <c r="M158">
        <v>20.2</v>
      </c>
      <c r="N158">
        <v>29.2</v>
      </c>
      <c r="O158">
        <v>20.6</v>
      </c>
      <c r="P15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8.3189999999999991</v>
      </c>
    </row>
    <row r="159" spans="1:16" x14ac:dyDescent="0.3">
      <c r="A159">
        <v>2022</v>
      </c>
      <c r="B159" t="s">
        <v>174</v>
      </c>
      <c r="C159" t="s">
        <v>225</v>
      </c>
      <c r="D159">
        <v>5047</v>
      </c>
      <c r="E159">
        <v>0.4</v>
      </c>
      <c r="F159">
        <v>0.2</v>
      </c>
      <c r="G159">
        <v>0.5</v>
      </c>
      <c r="H159">
        <v>2</v>
      </c>
      <c r="I159">
        <v>3.2</v>
      </c>
      <c r="J159">
        <v>6</v>
      </c>
      <c r="K159">
        <v>13.4</v>
      </c>
      <c r="L159">
        <v>26.6</v>
      </c>
      <c r="M159">
        <v>20.100000000000001</v>
      </c>
      <c r="N159">
        <v>27.6</v>
      </c>
      <c r="O159">
        <v>21</v>
      </c>
      <c r="P15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8.2579999999999991</v>
      </c>
    </row>
    <row r="160" spans="1:16" x14ac:dyDescent="0.3">
      <c r="A160">
        <v>2022</v>
      </c>
      <c r="B160" t="s">
        <v>174</v>
      </c>
      <c r="C160" t="s">
        <v>226</v>
      </c>
      <c r="D160">
        <v>4428</v>
      </c>
      <c r="E160">
        <v>0.2</v>
      </c>
      <c r="F160">
        <v>0.2</v>
      </c>
      <c r="G160">
        <v>0.7</v>
      </c>
      <c r="H160">
        <v>1.7</v>
      </c>
      <c r="I160">
        <v>2.8</v>
      </c>
      <c r="J160">
        <v>4.3</v>
      </c>
      <c r="K160">
        <v>11.6</v>
      </c>
      <c r="L160">
        <v>26.9</v>
      </c>
      <c r="M160">
        <v>20.399999999999999</v>
      </c>
      <c r="N160">
        <v>31.1</v>
      </c>
      <c r="O160">
        <v>20.100000000000001</v>
      </c>
      <c r="P16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8.4029999999999987</v>
      </c>
    </row>
    <row r="161" spans="1:16" x14ac:dyDescent="0.3">
      <c r="A161">
        <v>2022</v>
      </c>
      <c r="B161" t="s">
        <v>175</v>
      </c>
      <c r="C161" t="s">
        <v>224</v>
      </c>
      <c r="D161">
        <v>11720</v>
      </c>
      <c r="E161">
        <v>0</v>
      </c>
      <c r="F161">
        <v>0.1</v>
      </c>
      <c r="G161">
        <v>0.2</v>
      </c>
      <c r="H161">
        <v>4</v>
      </c>
      <c r="I161">
        <v>8.6999999999999993</v>
      </c>
      <c r="J161">
        <v>14.4</v>
      </c>
      <c r="K161">
        <v>37.1</v>
      </c>
      <c r="L161">
        <v>18.3</v>
      </c>
      <c r="M161">
        <v>10.5</v>
      </c>
      <c r="N161">
        <v>6.6</v>
      </c>
      <c r="O161">
        <v>1.8</v>
      </c>
      <c r="P16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7.1330000000000009</v>
      </c>
    </row>
    <row r="162" spans="1:16" x14ac:dyDescent="0.3">
      <c r="A162">
        <v>2022</v>
      </c>
      <c r="B162" t="s">
        <v>175</v>
      </c>
      <c r="C162" t="s">
        <v>225</v>
      </c>
      <c r="D162">
        <v>6285</v>
      </c>
      <c r="E162">
        <v>0</v>
      </c>
      <c r="F162">
        <v>0.1</v>
      </c>
      <c r="G162">
        <v>0.3</v>
      </c>
      <c r="H162">
        <v>4.2</v>
      </c>
      <c r="I162">
        <v>9.5</v>
      </c>
      <c r="J162">
        <v>14.6</v>
      </c>
      <c r="K162">
        <v>36.700000000000003</v>
      </c>
      <c r="L162">
        <v>19</v>
      </c>
      <c r="M162">
        <v>9.8000000000000007</v>
      </c>
      <c r="N162">
        <v>5.7</v>
      </c>
      <c r="O162">
        <v>1.6</v>
      </c>
      <c r="P16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7.0709999999999997</v>
      </c>
    </row>
    <row r="163" spans="1:16" x14ac:dyDescent="0.3">
      <c r="A163">
        <v>2022</v>
      </c>
      <c r="B163" t="s">
        <v>175</v>
      </c>
      <c r="C163" t="s">
        <v>226</v>
      </c>
      <c r="D163">
        <v>5435</v>
      </c>
      <c r="E163">
        <v>0</v>
      </c>
      <c r="F163">
        <v>0.1</v>
      </c>
      <c r="G163">
        <v>0.2</v>
      </c>
      <c r="H163">
        <v>3.9</v>
      </c>
      <c r="I163">
        <v>7.8</v>
      </c>
      <c r="J163">
        <v>14</v>
      </c>
      <c r="K163">
        <v>37.6</v>
      </c>
      <c r="L163">
        <v>17.600000000000001</v>
      </c>
      <c r="M163">
        <v>11.2</v>
      </c>
      <c r="N163">
        <v>7.6</v>
      </c>
      <c r="O163">
        <v>2</v>
      </c>
      <c r="P16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7.202</v>
      </c>
    </row>
    <row r="164" spans="1:16" x14ac:dyDescent="0.3">
      <c r="A164">
        <v>2022</v>
      </c>
      <c r="B164" t="s">
        <v>176</v>
      </c>
      <c r="C164" t="s">
        <v>224</v>
      </c>
      <c r="D164">
        <v>11835</v>
      </c>
      <c r="E164">
        <v>0.1</v>
      </c>
      <c r="F164">
        <v>0.1</v>
      </c>
      <c r="G164">
        <v>0.4</v>
      </c>
      <c r="H164">
        <v>1.6</v>
      </c>
      <c r="I164">
        <v>3.2</v>
      </c>
      <c r="J164">
        <v>5.4</v>
      </c>
      <c r="K164">
        <v>16.5</v>
      </c>
      <c r="L164">
        <v>26.5</v>
      </c>
      <c r="M164">
        <v>22</v>
      </c>
      <c r="N164">
        <v>24.4</v>
      </c>
      <c r="O164">
        <v>0.8</v>
      </c>
      <c r="P16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8.2579999999999991</v>
      </c>
    </row>
    <row r="165" spans="1:16" x14ac:dyDescent="0.3">
      <c r="A165">
        <v>2022</v>
      </c>
      <c r="B165" t="s">
        <v>176</v>
      </c>
      <c r="C165" t="s">
        <v>225</v>
      </c>
      <c r="D165">
        <v>6334</v>
      </c>
      <c r="E165">
        <v>0</v>
      </c>
      <c r="F165">
        <v>0.1</v>
      </c>
      <c r="G165">
        <v>0.4</v>
      </c>
      <c r="H165">
        <v>1.5</v>
      </c>
      <c r="I165">
        <v>3.6</v>
      </c>
      <c r="J165">
        <v>5.8</v>
      </c>
      <c r="K165">
        <v>17</v>
      </c>
      <c r="L165">
        <v>27.8</v>
      </c>
      <c r="M165">
        <v>21.6</v>
      </c>
      <c r="N165">
        <v>22.2</v>
      </c>
      <c r="O165">
        <v>0.9</v>
      </c>
      <c r="P16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8.18</v>
      </c>
    </row>
    <row r="166" spans="1:16" x14ac:dyDescent="0.3">
      <c r="A166">
        <v>2022</v>
      </c>
      <c r="B166" t="s">
        <v>176</v>
      </c>
      <c r="C166" t="s">
        <v>226</v>
      </c>
      <c r="D166">
        <v>5501</v>
      </c>
      <c r="E166">
        <v>0.1</v>
      </c>
      <c r="F166">
        <v>0.1</v>
      </c>
      <c r="G166">
        <v>0.3</v>
      </c>
      <c r="H166">
        <v>1.6</v>
      </c>
      <c r="I166">
        <v>2.8</v>
      </c>
      <c r="J166">
        <v>5.0999999999999996</v>
      </c>
      <c r="K166">
        <v>15.9</v>
      </c>
      <c r="L166">
        <v>25</v>
      </c>
      <c r="M166">
        <v>22.4</v>
      </c>
      <c r="N166">
        <v>26.9</v>
      </c>
      <c r="O166">
        <v>0.8</v>
      </c>
      <c r="P16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8.3409999999999993</v>
      </c>
    </row>
    <row r="167" spans="1:16" x14ac:dyDescent="0.3">
      <c r="A167">
        <v>2022</v>
      </c>
      <c r="B167" t="s">
        <v>130</v>
      </c>
      <c r="C167" t="s">
        <v>224</v>
      </c>
      <c r="D167">
        <v>11895</v>
      </c>
      <c r="E167">
        <v>0.3</v>
      </c>
      <c r="F167">
        <v>0.4</v>
      </c>
      <c r="G167">
        <v>1.2</v>
      </c>
      <c r="H167">
        <v>3</v>
      </c>
      <c r="I167">
        <v>5.9</v>
      </c>
      <c r="J167">
        <v>9.3000000000000007</v>
      </c>
      <c r="K167">
        <v>21.3</v>
      </c>
      <c r="L167">
        <v>28.1</v>
      </c>
      <c r="M167">
        <v>17.3</v>
      </c>
      <c r="N167">
        <v>13.2</v>
      </c>
      <c r="O167">
        <v>0.3</v>
      </c>
      <c r="P16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7.636000000000001</v>
      </c>
    </row>
    <row r="168" spans="1:16" x14ac:dyDescent="0.3">
      <c r="A168">
        <v>2022</v>
      </c>
      <c r="B168" t="s">
        <v>130</v>
      </c>
      <c r="C168" t="s">
        <v>225</v>
      </c>
      <c r="D168">
        <v>6370</v>
      </c>
      <c r="E168">
        <v>0.3</v>
      </c>
      <c r="F168">
        <v>0.4</v>
      </c>
      <c r="G168">
        <v>1.3</v>
      </c>
      <c r="H168">
        <v>3.2</v>
      </c>
      <c r="I168">
        <v>6.7</v>
      </c>
      <c r="J168">
        <v>10.4</v>
      </c>
      <c r="K168">
        <v>22.2</v>
      </c>
      <c r="L168">
        <v>28.6</v>
      </c>
      <c r="M168">
        <v>15.5</v>
      </c>
      <c r="N168">
        <v>11.4</v>
      </c>
      <c r="O168">
        <v>0.3</v>
      </c>
      <c r="P16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7.5140000000000002</v>
      </c>
    </row>
    <row r="169" spans="1:16" x14ac:dyDescent="0.3">
      <c r="A169">
        <v>2022</v>
      </c>
      <c r="B169" t="s">
        <v>130</v>
      </c>
      <c r="C169" t="s">
        <v>226</v>
      </c>
      <c r="D169">
        <v>5525</v>
      </c>
      <c r="E169">
        <v>0.3</v>
      </c>
      <c r="F169">
        <v>0.4</v>
      </c>
      <c r="G169">
        <v>1.1000000000000001</v>
      </c>
      <c r="H169">
        <v>2.8</v>
      </c>
      <c r="I169">
        <v>5</v>
      </c>
      <c r="J169">
        <v>8</v>
      </c>
      <c r="K169">
        <v>20.2</v>
      </c>
      <c r="L169">
        <v>27.6</v>
      </c>
      <c r="M169">
        <v>19.3</v>
      </c>
      <c r="N169">
        <v>15.3</v>
      </c>
      <c r="O169">
        <v>0.3</v>
      </c>
      <c r="P16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7.7750000000000004</v>
      </c>
    </row>
    <row r="170" spans="1:16" x14ac:dyDescent="0.3">
      <c r="A170">
        <v>2022</v>
      </c>
      <c r="B170" t="s">
        <v>119</v>
      </c>
      <c r="C170" t="s">
        <v>224</v>
      </c>
      <c r="D170">
        <v>11859</v>
      </c>
      <c r="E170">
        <v>0.4</v>
      </c>
      <c r="F170">
        <v>0.4</v>
      </c>
      <c r="G170">
        <v>1.5</v>
      </c>
      <c r="H170">
        <v>3.6</v>
      </c>
      <c r="I170">
        <v>7.4</v>
      </c>
      <c r="J170">
        <v>11.9</v>
      </c>
      <c r="K170">
        <v>21.3</v>
      </c>
      <c r="L170">
        <v>27.8</v>
      </c>
      <c r="M170">
        <v>15</v>
      </c>
      <c r="N170">
        <v>10.7</v>
      </c>
      <c r="O170">
        <v>0.6</v>
      </c>
      <c r="P17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7.42</v>
      </c>
    </row>
    <row r="171" spans="1:16" x14ac:dyDescent="0.3">
      <c r="A171">
        <v>2022</v>
      </c>
      <c r="B171" t="s">
        <v>119</v>
      </c>
      <c r="C171" t="s">
        <v>225</v>
      </c>
      <c r="D171">
        <v>6358</v>
      </c>
      <c r="E171">
        <v>0.5</v>
      </c>
      <c r="F171">
        <v>0.4</v>
      </c>
      <c r="G171">
        <v>1.9</v>
      </c>
      <c r="H171">
        <v>4.8</v>
      </c>
      <c r="I171">
        <v>9.1999999999999993</v>
      </c>
      <c r="J171">
        <v>13.3</v>
      </c>
      <c r="K171">
        <v>23</v>
      </c>
      <c r="L171">
        <v>26.8</v>
      </c>
      <c r="M171">
        <v>12</v>
      </c>
      <c r="N171">
        <v>8.1</v>
      </c>
      <c r="O171">
        <v>0.5</v>
      </c>
      <c r="P17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7.1639999999999997</v>
      </c>
    </row>
    <row r="172" spans="1:16" x14ac:dyDescent="0.3">
      <c r="A172">
        <v>2022</v>
      </c>
      <c r="B172" t="s">
        <v>119</v>
      </c>
      <c r="C172" t="s">
        <v>226</v>
      </c>
      <c r="D172">
        <v>5501</v>
      </c>
      <c r="E172">
        <v>0.3</v>
      </c>
      <c r="F172">
        <v>0.3</v>
      </c>
      <c r="G172">
        <v>1.1000000000000001</v>
      </c>
      <c r="H172">
        <v>2.2000000000000002</v>
      </c>
      <c r="I172">
        <v>5.3</v>
      </c>
      <c r="J172">
        <v>10.3</v>
      </c>
      <c r="K172">
        <v>19.2</v>
      </c>
      <c r="L172">
        <v>29.1</v>
      </c>
      <c r="M172">
        <v>18.399999999999999</v>
      </c>
      <c r="N172">
        <v>13.7</v>
      </c>
      <c r="O172">
        <v>0.8</v>
      </c>
      <c r="P17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7.7110000000000003</v>
      </c>
    </row>
    <row r="173" spans="1:16" x14ac:dyDescent="0.3">
      <c r="A173">
        <v>2022</v>
      </c>
      <c r="B173" t="s">
        <v>120</v>
      </c>
      <c r="C173" t="s">
        <v>224</v>
      </c>
      <c r="D173">
        <v>11852</v>
      </c>
      <c r="E173">
        <v>0.9</v>
      </c>
      <c r="F173">
        <v>0.9</v>
      </c>
      <c r="G173">
        <v>3.5</v>
      </c>
      <c r="H173">
        <v>4.9000000000000004</v>
      </c>
      <c r="I173">
        <v>8.1</v>
      </c>
      <c r="J173">
        <v>11.6</v>
      </c>
      <c r="K173">
        <v>22</v>
      </c>
      <c r="L173">
        <v>25.6</v>
      </c>
      <c r="M173">
        <v>12.7</v>
      </c>
      <c r="N173">
        <v>9.8000000000000007</v>
      </c>
      <c r="O173">
        <v>0.7</v>
      </c>
      <c r="P17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7.1400000000000006</v>
      </c>
    </row>
    <row r="174" spans="1:16" x14ac:dyDescent="0.3">
      <c r="A174">
        <v>2022</v>
      </c>
      <c r="B174" t="s">
        <v>120</v>
      </c>
      <c r="C174" t="s">
        <v>225</v>
      </c>
      <c r="D174">
        <v>6355</v>
      </c>
      <c r="E174">
        <v>1.3</v>
      </c>
      <c r="F174">
        <v>1.4</v>
      </c>
      <c r="G174">
        <v>5.3</v>
      </c>
      <c r="H174">
        <v>6.9</v>
      </c>
      <c r="I174">
        <v>10.8</v>
      </c>
      <c r="J174">
        <v>13.5</v>
      </c>
      <c r="K174">
        <v>23.7</v>
      </c>
      <c r="L174">
        <v>21.9</v>
      </c>
      <c r="M174">
        <v>10</v>
      </c>
      <c r="N174">
        <v>5.3</v>
      </c>
      <c r="O174">
        <v>0.5</v>
      </c>
      <c r="P17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6.6670000000000007</v>
      </c>
    </row>
    <row r="175" spans="1:16" x14ac:dyDescent="0.3">
      <c r="A175">
        <v>2022</v>
      </c>
      <c r="B175" t="s">
        <v>120</v>
      </c>
      <c r="C175" t="s">
        <v>226</v>
      </c>
      <c r="D175">
        <v>5497</v>
      </c>
      <c r="E175">
        <v>0.4</v>
      </c>
      <c r="F175">
        <v>0.4</v>
      </c>
      <c r="G175">
        <v>1.4</v>
      </c>
      <c r="H175">
        <v>2.6</v>
      </c>
      <c r="I175">
        <v>5</v>
      </c>
      <c r="J175">
        <v>9.4</v>
      </c>
      <c r="K175">
        <v>20</v>
      </c>
      <c r="L175">
        <v>29.9</v>
      </c>
      <c r="M175">
        <v>15.8</v>
      </c>
      <c r="N175">
        <v>15.1</v>
      </c>
      <c r="O175">
        <v>0.8</v>
      </c>
      <c r="P17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7.6959999999999997</v>
      </c>
    </row>
    <row r="176" spans="1:16" x14ac:dyDescent="0.3">
      <c r="A176">
        <v>2022</v>
      </c>
      <c r="B176" t="s">
        <v>121</v>
      </c>
      <c r="C176" t="s">
        <v>224</v>
      </c>
      <c r="D176">
        <v>11862</v>
      </c>
      <c r="E176">
        <v>1.4</v>
      </c>
      <c r="F176">
        <v>2.1</v>
      </c>
      <c r="G176">
        <v>5.4</v>
      </c>
      <c r="H176">
        <v>6.3</v>
      </c>
      <c r="I176">
        <v>8.5</v>
      </c>
      <c r="J176">
        <v>9.8000000000000007</v>
      </c>
      <c r="K176">
        <v>18.899999999999999</v>
      </c>
      <c r="L176">
        <v>24</v>
      </c>
      <c r="M176">
        <v>12.6</v>
      </c>
      <c r="N176">
        <v>11.1</v>
      </c>
      <c r="O176">
        <v>0.6</v>
      </c>
      <c r="P17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6.97</v>
      </c>
    </row>
    <row r="177" spans="1:16" x14ac:dyDescent="0.3">
      <c r="A177">
        <v>2022</v>
      </c>
      <c r="B177" t="s">
        <v>121</v>
      </c>
      <c r="C177" t="s">
        <v>225</v>
      </c>
      <c r="D177">
        <v>6358</v>
      </c>
      <c r="E177">
        <v>1.7</v>
      </c>
      <c r="F177">
        <v>2.8</v>
      </c>
      <c r="G177">
        <v>7.1</v>
      </c>
      <c r="H177">
        <v>7.8</v>
      </c>
      <c r="I177">
        <v>10.5</v>
      </c>
      <c r="J177">
        <v>11.6</v>
      </c>
      <c r="K177">
        <v>20.6</v>
      </c>
      <c r="L177">
        <v>21</v>
      </c>
      <c r="M177">
        <v>10.3</v>
      </c>
      <c r="N177">
        <v>6.6</v>
      </c>
      <c r="O177">
        <v>0.5</v>
      </c>
      <c r="P17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6.5280000000000005</v>
      </c>
    </row>
    <row r="178" spans="1:16" x14ac:dyDescent="0.3">
      <c r="A178">
        <v>2022</v>
      </c>
      <c r="B178" t="s">
        <v>121</v>
      </c>
      <c r="C178" t="s">
        <v>226</v>
      </c>
      <c r="D178">
        <v>5504</v>
      </c>
      <c r="E178">
        <v>1.1000000000000001</v>
      </c>
      <c r="F178">
        <v>1.3</v>
      </c>
      <c r="G178">
        <v>3.3</v>
      </c>
      <c r="H178">
        <v>4.5999999999999996</v>
      </c>
      <c r="I178">
        <v>6.2</v>
      </c>
      <c r="J178">
        <v>7.6</v>
      </c>
      <c r="K178">
        <v>16.8</v>
      </c>
      <c r="L178">
        <v>27.5</v>
      </c>
      <c r="M178">
        <v>15.3</v>
      </c>
      <c r="N178">
        <v>16.3</v>
      </c>
      <c r="O178">
        <v>0.7</v>
      </c>
      <c r="P17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7.4690000000000003</v>
      </c>
    </row>
    <row r="179" spans="1:16" x14ac:dyDescent="0.3">
      <c r="A179">
        <v>2022</v>
      </c>
      <c r="B179" t="s">
        <v>122</v>
      </c>
      <c r="C179" t="s">
        <v>224</v>
      </c>
      <c r="D179">
        <v>11838</v>
      </c>
      <c r="E179">
        <v>0.4</v>
      </c>
      <c r="F179">
        <v>0.4</v>
      </c>
      <c r="G179">
        <v>2.2000000000000002</v>
      </c>
      <c r="H179">
        <v>4.9000000000000004</v>
      </c>
      <c r="I179">
        <v>7.2</v>
      </c>
      <c r="J179">
        <v>11</v>
      </c>
      <c r="K179">
        <v>19.5</v>
      </c>
      <c r="L179">
        <v>27.7</v>
      </c>
      <c r="M179">
        <v>14.2</v>
      </c>
      <c r="N179">
        <v>12.5</v>
      </c>
      <c r="O179">
        <v>0.8</v>
      </c>
      <c r="P17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7.4030000000000005</v>
      </c>
    </row>
    <row r="180" spans="1:16" x14ac:dyDescent="0.3">
      <c r="A180">
        <v>2022</v>
      </c>
      <c r="B180" t="s">
        <v>122</v>
      </c>
      <c r="C180" t="s">
        <v>225</v>
      </c>
      <c r="D180">
        <v>6340</v>
      </c>
      <c r="E180">
        <v>0.5</v>
      </c>
      <c r="F180">
        <v>0.5</v>
      </c>
      <c r="G180">
        <v>3</v>
      </c>
      <c r="H180">
        <v>6.5</v>
      </c>
      <c r="I180">
        <v>9.4</v>
      </c>
      <c r="J180">
        <v>13</v>
      </c>
      <c r="K180">
        <v>21.9</v>
      </c>
      <c r="L180">
        <v>24.9</v>
      </c>
      <c r="M180">
        <v>11.9</v>
      </c>
      <c r="N180">
        <v>8.5</v>
      </c>
      <c r="O180">
        <v>0.8</v>
      </c>
      <c r="P18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7.0609999999999999</v>
      </c>
    </row>
    <row r="181" spans="1:16" x14ac:dyDescent="0.3">
      <c r="A181">
        <v>2022</v>
      </c>
      <c r="B181" t="s">
        <v>122</v>
      </c>
      <c r="C181" t="s">
        <v>226</v>
      </c>
      <c r="D181">
        <v>5498</v>
      </c>
      <c r="E181">
        <v>0.3</v>
      </c>
      <c r="F181">
        <v>0.3</v>
      </c>
      <c r="G181">
        <v>1.4</v>
      </c>
      <c r="H181">
        <v>2.9</v>
      </c>
      <c r="I181">
        <v>4.5999999999999996</v>
      </c>
      <c r="J181">
        <v>8.8000000000000007</v>
      </c>
      <c r="K181">
        <v>16.899999999999999</v>
      </c>
      <c r="L181">
        <v>30.8</v>
      </c>
      <c r="M181">
        <v>16.899999999999999</v>
      </c>
      <c r="N181">
        <v>17.100000000000001</v>
      </c>
      <c r="O181">
        <v>0.8</v>
      </c>
      <c r="P18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7.802999999999999</v>
      </c>
    </row>
    <row r="182" spans="1:16" x14ac:dyDescent="0.3">
      <c r="A182">
        <v>2022</v>
      </c>
      <c r="B182" t="s">
        <v>123</v>
      </c>
      <c r="C182" t="s">
        <v>224</v>
      </c>
      <c r="D182">
        <v>9886</v>
      </c>
      <c r="E182">
        <v>9.1</v>
      </c>
      <c r="F182">
        <v>4.3</v>
      </c>
      <c r="G182">
        <v>10.5</v>
      </c>
      <c r="H182">
        <v>10.5</v>
      </c>
      <c r="I182">
        <v>11.8</v>
      </c>
      <c r="J182">
        <v>11.2</v>
      </c>
      <c r="K182">
        <v>16</v>
      </c>
      <c r="L182">
        <v>15.3</v>
      </c>
      <c r="M182">
        <v>7.2</v>
      </c>
      <c r="N182">
        <v>4.0999999999999996</v>
      </c>
      <c r="O182">
        <v>17.2</v>
      </c>
      <c r="P18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5.5759999999999996</v>
      </c>
    </row>
    <row r="183" spans="1:16" x14ac:dyDescent="0.3">
      <c r="A183">
        <v>2022</v>
      </c>
      <c r="B183" t="s">
        <v>123</v>
      </c>
      <c r="C183" t="s">
        <v>225</v>
      </c>
      <c r="D183">
        <v>5185</v>
      </c>
      <c r="E183">
        <v>10.6</v>
      </c>
      <c r="F183">
        <v>4.4000000000000004</v>
      </c>
      <c r="G183">
        <v>10.199999999999999</v>
      </c>
      <c r="H183">
        <v>10.8</v>
      </c>
      <c r="I183">
        <v>11</v>
      </c>
      <c r="J183">
        <v>11.7</v>
      </c>
      <c r="K183">
        <v>16.899999999999999</v>
      </c>
      <c r="L183">
        <v>14.2</v>
      </c>
      <c r="M183">
        <v>6.8</v>
      </c>
      <c r="N183">
        <v>3.5</v>
      </c>
      <c r="O183">
        <v>18.899999999999999</v>
      </c>
      <c r="P18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5.4649999999999999</v>
      </c>
    </row>
    <row r="184" spans="1:16" x14ac:dyDescent="0.3">
      <c r="A184">
        <v>2022</v>
      </c>
      <c r="B184" t="s">
        <v>123</v>
      </c>
      <c r="C184" t="s">
        <v>226</v>
      </c>
      <c r="D184">
        <v>4701</v>
      </c>
      <c r="E184">
        <v>7.6</v>
      </c>
      <c r="F184">
        <v>4.2</v>
      </c>
      <c r="G184">
        <v>10.7</v>
      </c>
      <c r="H184">
        <v>10.199999999999999</v>
      </c>
      <c r="I184">
        <v>12.6</v>
      </c>
      <c r="J184">
        <v>10.6</v>
      </c>
      <c r="K184">
        <v>15.1</v>
      </c>
      <c r="L184">
        <v>16.399999999999999</v>
      </c>
      <c r="M184">
        <v>7.6</v>
      </c>
      <c r="N184">
        <v>4.9000000000000004</v>
      </c>
      <c r="O184">
        <v>15.2</v>
      </c>
      <c r="P18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5.6980000000000004</v>
      </c>
    </row>
    <row r="185" spans="1:16" x14ac:dyDescent="0.3">
      <c r="A185">
        <v>2022</v>
      </c>
      <c r="B185" t="s">
        <v>177</v>
      </c>
      <c r="C185" t="s">
        <v>224</v>
      </c>
      <c r="D185">
        <v>10029</v>
      </c>
      <c r="E185">
        <v>10.8</v>
      </c>
      <c r="F185">
        <v>5.7</v>
      </c>
      <c r="G185">
        <v>11.2</v>
      </c>
      <c r="H185">
        <v>8.6999999999999993</v>
      </c>
      <c r="I185">
        <v>9.5</v>
      </c>
      <c r="J185">
        <v>10</v>
      </c>
      <c r="K185">
        <v>14.1</v>
      </c>
      <c r="L185">
        <v>16</v>
      </c>
      <c r="M185">
        <v>8.3000000000000007</v>
      </c>
      <c r="N185">
        <v>5.7</v>
      </c>
      <c r="O185">
        <v>16</v>
      </c>
      <c r="P18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5.5650000000000004</v>
      </c>
    </row>
    <row r="186" spans="1:16" x14ac:dyDescent="0.3">
      <c r="A186">
        <v>2022</v>
      </c>
      <c r="B186" t="s">
        <v>177</v>
      </c>
      <c r="C186" t="s">
        <v>225</v>
      </c>
      <c r="D186">
        <v>5237</v>
      </c>
      <c r="E186">
        <v>11.8</v>
      </c>
      <c r="F186">
        <v>5.2</v>
      </c>
      <c r="G186">
        <v>11.6</v>
      </c>
      <c r="H186">
        <v>9.5</v>
      </c>
      <c r="I186">
        <v>9.6</v>
      </c>
      <c r="J186">
        <v>10.1</v>
      </c>
      <c r="K186">
        <v>14</v>
      </c>
      <c r="L186">
        <v>14.3</v>
      </c>
      <c r="M186">
        <v>8.8000000000000007</v>
      </c>
      <c r="N186">
        <v>5.0999999999999996</v>
      </c>
      <c r="O186">
        <v>18</v>
      </c>
      <c r="P18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5.4619999999999997</v>
      </c>
    </row>
    <row r="187" spans="1:16" x14ac:dyDescent="0.3">
      <c r="A187">
        <v>2022</v>
      </c>
      <c r="B187" t="s">
        <v>177</v>
      </c>
      <c r="C187" t="s">
        <v>226</v>
      </c>
      <c r="D187">
        <v>4792</v>
      </c>
      <c r="E187">
        <v>9.8000000000000007</v>
      </c>
      <c r="F187">
        <v>6.3</v>
      </c>
      <c r="G187">
        <v>10.7</v>
      </c>
      <c r="H187">
        <v>7.8</v>
      </c>
      <c r="I187">
        <v>9.4</v>
      </c>
      <c r="J187">
        <v>9.9</v>
      </c>
      <c r="K187">
        <v>14.3</v>
      </c>
      <c r="L187">
        <v>17.899999999999999</v>
      </c>
      <c r="M187">
        <v>7.7</v>
      </c>
      <c r="N187">
        <v>6.3</v>
      </c>
      <c r="O187">
        <v>13.6</v>
      </c>
      <c r="P18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5.6769999999999996</v>
      </c>
    </row>
    <row r="188" spans="1:16" x14ac:dyDescent="0.3">
      <c r="A188">
        <v>2022</v>
      </c>
      <c r="B188" t="s">
        <v>131</v>
      </c>
      <c r="C188" t="s">
        <v>224</v>
      </c>
      <c r="D188">
        <v>11816</v>
      </c>
      <c r="E188">
        <v>0.7</v>
      </c>
      <c r="F188">
        <v>0.4</v>
      </c>
      <c r="G188">
        <v>1.7</v>
      </c>
      <c r="H188">
        <v>4.4000000000000004</v>
      </c>
      <c r="I188">
        <v>7.5</v>
      </c>
      <c r="J188">
        <v>11.2</v>
      </c>
      <c r="K188">
        <v>20.100000000000001</v>
      </c>
      <c r="L188">
        <v>26</v>
      </c>
      <c r="M188">
        <v>14.5</v>
      </c>
      <c r="N188">
        <v>13.5</v>
      </c>
      <c r="O188">
        <v>1</v>
      </c>
      <c r="P18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7.4309999999999992</v>
      </c>
    </row>
    <row r="189" spans="1:16" x14ac:dyDescent="0.3">
      <c r="A189">
        <v>2022</v>
      </c>
      <c r="B189" t="s">
        <v>131</v>
      </c>
      <c r="C189" t="s">
        <v>225</v>
      </c>
      <c r="D189">
        <v>6327</v>
      </c>
      <c r="E189">
        <v>0.6</v>
      </c>
      <c r="F189">
        <v>0.6</v>
      </c>
      <c r="G189">
        <v>1.9</v>
      </c>
      <c r="H189">
        <v>4.5</v>
      </c>
      <c r="I189">
        <v>8.1</v>
      </c>
      <c r="J189">
        <v>11.7</v>
      </c>
      <c r="K189">
        <v>20.3</v>
      </c>
      <c r="L189">
        <v>26.4</v>
      </c>
      <c r="M189">
        <v>13.7</v>
      </c>
      <c r="N189">
        <v>12</v>
      </c>
      <c r="O189">
        <v>1</v>
      </c>
      <c r="P18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7.3279999999999994</v>
      </c>
    </row>
    <row r="190" spans="1:16" x14ac:dyDescent="0.3">
      <c r="A190">
        <v>2022</v>
      </c>
      <c r="B190" t="s">
        <v>131</v>
      </c>
      <c r="C190" t="s">
        <v>226</v>
      </c>
      <c r="D190">
        <v>5489</v>
      </c>
      <c r="E190">
        <v>0.7</v>
      </c>
      <c r="F190">
        <v>0.3</v>
      </c>
      <c r="G190">
        <v>1.4</v>
      </c>
      <c r="H190">
        <v>4.2</v>
      </c>
      <c r="I190">
        <v>6.8</v>
      </c>
      <c r="J190">
        <v>10.7</v>
      </c>
      <c r="K190">
        <v>19.8</v>
      </c>
      <c r="L190">
        <v>25.6</v>
      </c>
      <c r="M190">
        <v>15.4</v>
      </c>
      <c r="N190">
        <v>15.2</v>
      </c>
      <c r="O190">
        <v>1</v>
      </c>
      <c r="P19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7.5449999999999999</v>
      </c>
    </row>
    <row r="191" spans="1:16" x14ac:dyDescent="0.3">
      <c r="A191">
        <v>2022</v>
      </c>
      <c r="B191" t="s">
        <v>178</v>
      </c>
      <c r="C191" t="s">
        <v>224</v>
      </c>
      <c r="D191">
        <v>11507</v>
      </c>
      <c r="E191">
        <v>1.2</v>
      </c>
      <c r="F191">
        <v>1</v>
      </c>
      <c r="G191">
        <v>3.6</v>
      </c>
      <c r="H191">
        <v>6.8</v>
      </c>
      <c r="I191">
        <v>10.199999999999999</v>
      </c>
      <c r="J191">
        <v>14.5</v>
      </c>
      <c r="K191">
        <v>23</v>
      </c>
      <c r="L191">
        <v>22</v>
      </c>
      <c r="M191">
        <v>10.8</v>
      </c>
      <c r="N191">
        <v>6.9</v>
      </c>
      <c r="O191">
        <v>3.6</v>
      </c>
      <c r="P19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6.8239999999999998</v>
      </c>
    </row>
    <row r="192" spans="1:16" x14ac:dyDescent="0.3">
      <c r="A192">
        <v>2022</v>
      </c>
      <c r="B192" t="s">
        <v>178</v>
      </c>
      <c r="C192" t="s">
        <v>225</v>
      </c>
      <c r="D192">
        <v>6174</v>
      </c>
      <c r="E192">
        <v>1.4</v>
      </c>
      <c r="F192">
        <v>1.1000000000000001</v>
      </c>
      <c r="G192">
        <v>3.7</v>
      </c>
      <c r="H192">
        <v>7.6</v>
      </c>
      <c r="I192">
        <v>10.7</v>
      </c>
      <c r="J192">
        <v>15</v>
      </c>
      <c r="K192">
        <v>23.7</v>
      </c>
      <c r="L192">
        <v>20.9</v>
      </c>
      <c r="M192">
        <v>9.9</v>
      </c>
      <c r="N192">
        <v>6</v>
      </c>
      <c r="O192">
        <v>3.4</v>
      </c>
      <c r="P19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6.7079999999999993</v>
      </c>
    </row>
    <row r="193" spans="1:16" x14ac:dyDescent="0.3">
      <c r="A193">
        <v>2022</v>
      </c>
      <c r="B193" t="s">
        <v>178</v>
      </c>
      <c r="C193" t="s">
        <v>226</v>
      </c>
      <c r="D193">
        <v>5333</v>
      </c>
      <c r="E193">
        <v>0.9</v>
      </c>
      <c r="F193">
        <v>0.9</v>
      </c>
      <c r="G193">
        <v>3.6</v>
      </c>
      <c r="H193">
        <v>5.9</v>
      </c>
      <c r="I193">
        <v>9.6</v>
      </c>
      <c r="J193">
        <v>13.9</v>
      </c>
      <c r="K193">
        <v>22.1</v>
      </c>
      <c r="L193">
        <v>23.2</v>
      </c>
      <c r="M193">
        <v>11.8</v>
      </c>
      <c r="N193">
        <v>8</v>
      </c>
      <c r="O193">
        <v>3.8</v>
      </c>
      <c r="P19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6.95</v>
      </c>
    </row>
    <row r="194" spans="1:16" x14ac:dyDescent="0.3">
      <c r="A194">
        <v>2022</v>
      </c>
      <c r="B194" t="s">
        <v>179</v>
      </c>
      <c r="C194" t="s">
        <v>224</v>
      </c>
      <c r="D194">
        <v>11157</v>
      </c>
      <c r="E194">
        <v>0.4</v>
      </c>
      <c r="F194">
        <v>0.3</v>
      </c>
      <c r="G194">
        <v>1.7</v>
      </c>
      <c r="H194">
        <v>3.4</v>
      </c>
      <c r="I194">
        <v>7.7</v>
      </c>
      <c r="J194">
        <v>11.8</v>
      </c>
      <c r="K194">
        <v>21.9</v>
      </c>
      <c r="L194">
        <v>28</v>
      </c>
      <c r="M194">
        <v>15</v>
      </c>
      <c r="N194">
        <v>9.6999999999999993</v>
      </c>
      <c r="O194">
        <v>6.5</v>
      </c>
      <c r="P19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7.383</v>
      </c>
    </row>
    <row r="195" spans="1:16" x14ac:dyDescent="0.3">
      <c r="A195">
        <v>2022</v>
      </c>
      <c r="B195" t="s">
        <v>179</v>
      </c>
      <c r="C195" t="s">
        <v>225</v>
      </c>
      <c r="D195">
        <v>5995</v>
      </c>
      <c r="E195">
        <v>0.5</v>
      </c>
      <c r="F195">
        <v>0.4</v>
      </c>
      <c r="G195">
        <v>1.7</v>
      </c>
      <c r="H195">
        <v>3.8</v>
      </c>
      <c r="I195">
        <v>8.6999999999999993</v>
      </c>
      <c r="J195">
        <v>12.6</v>
      </c>
      <c r="K195">
        <v>23.2</v>
      </c>
      <c r="L195">
        <v>26.9</v>
      </c>
      <c r="M195">
        <v>13.6</v>
      </c>
      <c r="N195">
        <v>8.6999999999999993</v>
      </c>
      <c r="O195">
        <v>6.2</v>
      </c>
      <c r="P19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7.2770000000000001</v>
      </c>
    </row>
    <row r="196" spans="1:16" x14ac:dyDescent="0.3">
      <c r="A196">
        <v>2022</v>
      </c>
      <c r="B196" t="s">
        <v>179</v>
      </c>
      <c r="C196" t="s">
        <v>226</v>
      </c>
      <c r="D196">
        <v>5162</v>
      </c>
      <c r="E196">
        <v>0.4</v>
      </c>
      <c r="F196">
        <v>0.3</v>
      </c>
      <c r="G196">
        <v>1.7</v>
      </c>
      <c r="H196">
        <v>3</v>
      </c>
      <c r="I196">
        <v>6.5</v>
      </c>
      <c r="J196">
        <v>11</v>
      </c>
      <c r="K196">
        <v>20.3</v>
      </c>
      <c r="L196">
        <v>29.3</v>
      </c>
      <c r="M196">
        <v>16.600000000000001</v>
      </c>
      <c r="N196">
        <v>10.8</v>
      </c>
      <c r="O196">
        <v>6.9</v>
      </c>
      <c r="P19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7.504999999999999</v>
      </c>
    </row>
    <row r="197" spans="1:16" x14ac:dyDescent="0.3">
      <c r="A197">
        <v>2022</v>
      </c>
      <c r="B197" t="s">
        <v>180</v>
      </c>
      <c r="C197" t="s">
        <v>224</v>
      </c>
      <c r="D197">
        <v>11613</v>
      </c>
      <c r="E197">
        <v>1</v>
      </c>
      <c r="F197">
        <v>0.8</v>
      </c>
      <c r="G197">
        <v>2.9</v>
      </c>
      <c r="H197">
        <v>5.2</v>
      </c>
      <c r="I197">
        <v>8.9</v>
      </c>
      <c r="J197">
        <v>13.3</v>
      </c>
      <c r="K197">
        <v>20.9</v>
      </c>
      <c r="L197">
        <v>23.6</v>
      </c>
      <c r="M197">
        <v>13.1</v>
      </c>
      <c r="N197">
        <v>10.4</v>
      </c>
      <c r="O197">
        <v>2.7</v>
      </c>
      <c r="P19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7.1339999999999995</v>
      </c>
    </row>
    <row r="198" spans="1:16" x14ac:dyDescent="0.3">
      <c r="A198">
        <v>2022</v>
      </c>
      <c r="B198" t="s">
        <v>180</v>
      </c>
      <c r="C198" t="s">
        <v>225</v>
      </c>
      <c r="D198">
        <v>6229</v>
      </c>
      <c r="E198">
        <v>1</v>
      </c>
      <c r="F198">
        <v>0.8</v>
      </c>
      <c r="G198">
        <v>3.1</v>
      </c>
      <c r="H198">
        <v>6</v>
      </c>
      <c r="I198">
        <v>9.6</v>
      </c>
      <c r="J198">
        <v>13.8</v>
      </c>
      <c r="K198">
        <v>21.2</v>
      </c>
      <c r="L198">
        <v>22.7</v>
      </c>
      <c r="M198">
        <v>12.1</v>
      </c>
      <c r="N198">
        <v>9.5</v>
      </c>
      <c r="O198">
        <v>2.5</v>
      </c>
      <c r="P19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7.0059999999999993</v>
      </c>
    </row>
    <row r="199" spans="1:16" x14ac:dyDescent="0.3">
      <c r="A199">
        <v>2022</v>
      </c>
      <c r="B199" t="s">
        <v>180</v>
      </c>
      <c r="C199" t="s">
        <v>226</v>
      </c>
      <c r="D199">
        <v>5384</v>
      </c>
      <c r="E199">
        <v>0.9</v>
      </c>
      <c r="F199">
        <v>0.7</v>
      </c>
      <c r="G199">
        <v>2.6</v>
      </c>
      <c r="H199">
        <v>4.3</v>
      </c>
      <c r="I199">
        <v>8.1</v>
      </c>
      <c r="J199">
        <v>12.6</v>
      </c>
      <c r="K199">
        <v>20.5</v>
      </c>
      <c r="L199">
        <v>24.7</v>
      </c>
      <c r="M199">
        <v>14.1</v>
      </c>
      <c r="N199">
        <v>11.4</v>
      </c>
      <c r="O199">
        <v>2.9</v>
      </c>
      <c r="P19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7.2539999999999996</v>
      </c>
    </row>
    <row r="200" spans="1:16" x14ac:dyDescent="0.3">
      <c r="A200">
        <v>2022</v>
      </c>
      <c r="B200" t="s">
        <v>181</v>
      </c>
      <c r="C200" t="s">
        <v>224</v>
      </c>
      <c r="D200">
        <v>11303</v>
      </c>
      <c r="E200">
        <v>0.6</v>
      </c>
      <c r="F200">
        <v>0.6</v>
      </c>
      <c r="G200">
        <v>2.6</v>
      </c>
      <c r="H200">
        <v>4.7</v>
      </c>
      <c r="I200">
        <v>9.1999999999999993</v>
      </c>
      <c r="J200">
        <v>12.7</v>
      </c>
      <c r="K200">
        <v>21.9</v>
      </c>
      <c r="L200">
        <v>23.3</v>
      </c>
      <c r="M200">
        <v>13.8</v>
      </c>
      <c r="N200">
        <v>10.5</v>
      </c>
      <c r="O200">
        <v>5.3</v>
      </c>
      <c r="P20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7.1949999999999994</v>
      </c>
    </row>
    <row r="201" spans="1:16" x14ac:dyDescent="0.3">
      <c r="A201">
        <v>2022</v>
      </c>
      <c r="B201" t="s">
        <v>181</v>
      </c>
      <c r="C201" t="s">
        <v>225</v>
      </c>
      <c r="D201">
        <v>6057</v>
      </c>
      <c r="E201">
        <v>0.5</v>
      </c>
      <c r="F201">
        <v>0.7</v>
      </c>
      <c r="G201">
        <v>2.6</v>
      </c>
      <c r="H201">
        <v>4.7</v>
      </c>
      <c r="I201">
        <v>9.9</v>
      </c>
      <c r="J201">
        <v>13.6</v>
      </c>
      <c r="K201">
        <v>22.7</v>
      </c>
      <c r="L201">
        <v>22.4</v>
      </c>
      <c r="M201">
        <v>13</v>
      </c>
      <c r="N201">
        <v>9.8000000000000007</v>
      </c>
      <c r="O201">
        <v>5.2</v>
      </c>
      <c r="P20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7.1270000000000007</v>
      </c>
    </row>
    <row r="202" spans="1:16" x14ac:dyDescent="0.3">
      <c r="A202">
        <v>2022</v>
      </c>
      <c r="B202" t="s">
        <v>181</v>
      </c>
      <c r="C202" t="s">
        <v>226</v>
      </c>
      <c r="D202">
        <v>5246</v>
      </c>
      <c r="E202">
        <v>0.7</v>
      </c>
      <c r="F202">
        <v>0.6</v>
      </c>
      <c r="G202">
        <v>2.6</v>
      </c>
      <c r="H202">
        <v>4.5999999999999996</v>
      </c>
      <c r="I202">
        <v>8.5</v>
      </c>
      <c r="J202">
        <v>11.7</v>
      </c>
      <c r="K202">
        <v>21.1</v>
      </c>
      <c r="L202">
        <v>24.4</v>
      </c>
      <c r="M202">
        <v>14.7</v>
      </c>
      <c r="N202">
        <v>11.2</v>
      </c>
      <c r="O202">
        <v>5.4</v>
      </c>
      <c r="P20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7.2799999999999994</v>
      </c>
    </row>
    <row r="203" spans="1:16" x14ac:dyDescent="0.3">
      <c r="A203">
        <v>2022</v>
      </c>
      <c r="B203" t="s">
        <v>155</v>
      </c>
      <c r="C203" t="s">
        <v>224</v>
      </c>
      <c r="D203">
        <v>10010</v>
      </c>
      <c r="E203">
        <v>0.2</v>
      </c>
      <c r="F203">
        <v>0.2</v>
      </c>
      <c r="G203">
        <v>1.2</v>
      </c>
      <c r="H203">
        <v>2.6</v>
      </c>
      <c r="I203">
        <v>5.8</v>
      </c>
      <c r="J203">
        <v>9.4</v>
      </c>
      <c r="K203">
        <v>17.100000000000001</v>
      </c>
      <c r="L203">
        <v>29.6</v>
      </c>
      <c r="M203">
        <v>18.600000000000001</v>
      </c>
      <c r="N203">
        <v>15.3</v>
      </c>
      <c r="O203">
        <v>16.100000000000001</v>
      </c>
      <c r="P20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7.769000000000001</v>
      </c>
    </row>
    <row r="204" spans="1:16" x14ac:dyDescent="0.3">
      <c r="A204">
        <v>2022</v>
      </c>
      <c r="B204" t="s">
        <v>155</v>
      </c>
      <c r="C204" t="s">
        <v>225</v>
      </c>
      <c r="D204">
        <v>5343</v>
      </c>
      <c r="E204">
        <v>0.2</v>
      </c>
      <c r="F204">
        <v>0.2</v>
      </c>
      <c r="G204">
        <v>1.3</v>
      </c>
      <c r="H204">
        <v>3</v>
      </c>
      <c r="I204">
        <v>6.5</v>
      </c>
      <c r="J204">
        <v>10.7</v>
      </c>
      <c r="K204">
        <v>18.399999999999999</v>
      </c>
      <c r="L204">
        <v>29.4</v>
      </c>
      <c r="M204">
        <v>16.899999999999999</v>
      </c>
      <c r="N204">
        <v>13.3</v>
      </c>
      <c r="O204">
        <v>16.399999999999999</v>
      </c>
      <c r="P20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7.6230000000000002</v>
      </c>
    </row>
    <row r="205" spans="1:16" x14ac:dyDescent="0.3">
      <c r="A205">
        <v>2022</v>
      </c>
      <c r="B205" t="s">
        <v>155</v>
      </c>
      <c r="C205" t="s">
        <v>226</v>
      </c>
      <c r="D205">
        <v>4667</v>
      </c>
      <c r="E205">
        <v>0.1</v>
      </c>
      <c r="F205">
        <v>0.1</v>
      </c>
      <c r="G205">
        <v>1.2</v>
      </c>
      <c r="H205">
        <v>2.1</v>
      </c>
      <c r="I205">
        <v>5</v>
      </c>
      <c r="J205">
        <v>7.9</v>
      </c>
      <c r="K205">
        <v>15.6</v>
      </c>
      <c r="L205">
        <v>29.9</v>
      </c>
      <c r="M205">
        <v>20.6</v>
      </c>
      <c r="N205">
        <v>17.5</v>
      </c>
      <c r="O205">
        <v>15.8</v>
      </c>
      <c r="P20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7.9349999999999996</v>
      </c>
    </row>
    <row r="206" spans="1:16" x14ac:dyDescent="0.3">
      <c r="A206">
        <v>2022</v>
      </c>
      <c r="B206" t="s">
        <v>156</v>
      </c>
      <c r="C206" t="s">
        <v>224</v>
      </c>
      <c r="D206">
        <v>10539</v>
      </c>
      <c r="E206">
        <v>0.2</v>
      </c>
      <c r="F206">
        <v>0.2</v>
      </c>
      <c r="G206">
        <v>1.4</v>
      </c>
      <c r="H206">
        <v>2.9</v>
      </c>
      <c r="I206">
        <v>6</v>
      </c>
      <c r="J206">
        <v>9.4</v>
      </c>
      <c r="K206">
        <v>17.899999999999999</v>
      </c>
      <c r="L206">
        <v>29.1</v>
      </c>
      <c r="M206">
        <v>18</v>
      </c>
      <c r="N206">
        <v>14.8</v>
      </c>
      <c r="O206">
        <v>11.7</v>
      </c>
      <c r="P20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7.7089999999999996</v>
      </c>
    </row>
    <row r="207" spans="1:16" x14ac:dyDescent="0.3">
      <c r="A207">
        <v>2022</v>
      </c>
      <c r="B207" t="s">
        <v>156</v>
      </c>
      <c r="C207" t="s">
        <v>225</v>
      </c>
      <c r="D207">
        <v>5618</v>
      </c>
      <c r="E207">
        <v>0.2</v>
      </c>
      <c r="F207">
        <v>0.3</v>
      </c>
      <c r="G207">
        <v>1.4</v>
      </c>
      <c r="H207">
        <v>3.3</v>
      </c>
      <c r="I207">
        <v>6.8</v>
      </c>
      <c r="J207">
        <v>10.6</v>
      </c>
      <c r="K207">
        <v>18.899999999999999</v>
      </c>
      <c r="L207">
        <v>28.9</v>
      </c>
      <c r="M207">
        <v>16.899999999999999</v>
      </c>
      <c r="N207">
        <v>12.9</v>
      </c>
      <c r="O207">
        <v>12.1</v>
      </c>
      <c r="P20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7.6039999999999992</v>
      </c>
    </row>
    <row r="208" spans="1:16" x14ac:dyDescent="0.3">
      <c r="A208">
        <v>2022</v>
      </c>
      <c r="B208" t="s">
        <v>156</v>
      </c>
      <c r="C208" t="s">
        <v>226</v>
      </c>
      <c r="D208">
        <v>4921</v>
      </c>
      <c r="E208">
        <v>0.2</v>
      </c>
      <c r="F208">
        <v>0.2</v>
      </c>
      <c r="G208">
        <v>1.4</v>
      </c>
      <c r="H208">
        <v>2.4</v>
      </c>
      <c r="I208">
        <v>5.0999999999999996</v>
      </c>
      <c r="J208">
        <v>8.1999999999999993</v>
      </c>
      <c r="K208">
        <v>16.8</v>
      </c>
      <c r="L208">
        <v>29.5</v>
      </c>
      <c r="M208">
        <v>19.2</v>
      </c>
      <c r="N208">
        <v>17</v>
      </c>
      <c r="O208">
        <v>11.2</v>
      </c>
      <c r="P20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7.8549999999999995</v>
      </c>
    </row>
    <row r="209" spans="1:16" x14ac:dyDescent="0.3">
      <c r="A209">
        <v>2022</v>
      </c>
      <c r="B209" t="s">
        <v>157</v>
      </c>
      <c r="C209" t="s">
        <v>224</v>
      </c>
      <c r="D209">
        <v>9780</v>
      </c>
      <c r="E209">
        <v>0.3</v>
      </c>
      <c r="F209">
        <v>0.2</v>
      </c>
      <c r="G209">
        <v>1.3</v>
      </c>
      <c r="H209">
        <v>3</v>
      </c>
      <c r="I209">
        <v>6.3</v>
      </c>
      <c r="J209">
        <v>11</v>
      </c>
      <c r="K209">
        <v>19.3</v>
      </c>
      <c r="L209">
        <v>28.1</v>
      </c>
      <c r="M209">
        <v>17.899999999999999</v>
      </c>
      <c r="N209">
        <v>12.5</v>
      </c>
      <c r="O209">
        <v>18</v>
      </c>
      <c r="P20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7.601</v>
      </c>
    </row>
    <row r="210" spans="1:16" x14ac:dyDescent="0.3">
      <c r="A210">
        <v>2022</v>
      </c>
      <c r="B210" t="s">
        <v>157</v>
      </c>
      <c r="C210" t="s">
        <v>225</v>
      </c>
      <c r="D210">
        <v>5203</v>
      </c>
      <c r="E210">
        <v>0.3</v>
      </c>
      <c r="F210">
        <v>0.2</v>
      </c>
      <c r="G210">
        <v>1.4</v>
      </c>
      <c r="H210">
        <v>3.5</v>
      </c>
      <c r="I210">
        <v>7.1</v>
      </c>
      <c r="J210">
        <v>12.2</v>
      </c>
      <c r="K210">
        <v>20.9</v>
      </c>
      <c r="L210">
        <v>27.4</v>
      </c>
      <c r="M210">
        <v>16.5</v>
      </c>
      <c r="N210">
        <v>10.5</v>
      </c>
      <c r="O210">
        <v>18.600000000000001</v>
      </c>
      <c r="P21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7.4659999999999993</v>
      </c>
    </row>
    <row r="211" spans="1:16" x14ac:dyDescent="0.3">
      <c r="A211">
        <v>2022</v>
      </c>
      <c r="B211" t="s">
        <v>157</v>
      </c>
      <c r="C211" t="s">
        <v>226</v>
      </c>
      <c r="D211">
        <v>4577</v>
      </c>
      <c r="E211">
        <v>0.3</v>
      </c>
      <c r="F211">
        <v>0.1</v>
      </c>
      <c r="G211">
        <v>1.3</v>
      </c>
      <c r="H211">
        <v>2.5</v>
      </c>
      <c r="I211">
        <v>5.4</v>
      </c>
      <c r="J211">
        <v>9.6</v>
      </c>
      <c r="K211">
        <v>17.5</v>
      </c>
      <c r="L211">
        <v>28.9</v>
      </c>
      <c r="M211">
        <v>19.600000000000001</v>
      </c>
      <c r="N211">
        <v>14.8</v>
      </c>
      <c r="O211">
        <v>17.399999999999999</v>
      </c>
      <c r="P21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7.770999999999999</v>
      </c>
    </row>
    <row r="212" spans="1:16" x14ac:dyDescent="0.3">
      <c r="A212">
        <v>2022</v>
      </c>
      <c r="B212" t="s">
        <v>158</v>
      </c>
      <c r="C212" t="s">
        <v>224</v>
      </c>
      <c r="D212">
        <v>9600</v>
      </c>
      <c r="E212">
        <v>0.2</v>
      </c>
      <c r="F212">
        <v>0.3</v>
      </c>
      <c r="G212">
        <v>1.4</v>
      </c>
      <c r="H212">
        <v>2.9</v>
      </c>
      <c r="I212">
        <v>6.7</v>
      </c>
      <c r="J212">
        <v>11.7</v>
      </c>
      <c r="K212">
        <v>19.899999999999999</v>
      </c>
      <c r="L212">
        <v>26.6</v>
      </c>
      <c r="M212">
        <v>17.899999999999999</v>
      </c>
      <c r="N212">
        <v>12.4</v>
      </c>
      <c r="O212">
        <v>19.600000000000001</v>
      </c>
      <c r="P21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7.5750000000000002</v>
      </c>
    </row>
    <row r="213" spans="1:16" x14ac:dyDescent="0.3">
      <c r="A213">
        <v>2022</v>
      </c>
      <c r="B213" t="s">
        <v>158</v>
      </c>
      <c r="C213" t="s">
        <v>225</v>
      </c>
      <c r="D213">
        <v>5108</v>
      </c>
      <c r="E213">
        <v>0.3</v>
      </c>
      <c r="F213">
        <v>0.2</v>
      </c>
      <c r="G213">
        <v>1.5</v>
      </c>
      <c r="H213">
        <v>3.3</v>
      </c>
      <c r="I213">
        <v>7.5</v>
      </c>
      <c r="J213">
        <v>12.9</v>
      </c>
      <c r="K213">
        <v>20.9</v>
      </c>
      <c r="L213">
        <v>26.1</v>
      </c>
      <c r="M213">
        <v>16.8</v>
      </c>
      <c r="N213">
        <v>10.4</v>
      </c>
      <c r="O213">
        <v>20.100000000000001</v>
      </c>
      <c r="P21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7.4360000000000008</v>
      </c>
    </row>
    <row r="214" spans="1:16" x14ac:dyDescent="0.3">
      <c r="A214">
        <v>2022</v>
      </c>
      <c r="B214" t="s">
        <v>158</v>
      </c>
      <c r="C214" t="s">
        <v>226</v>
      </c>
      <c r="D214">
        <v>4492</v>
      </c>
      <c r="E214">
        <v>0.1</v>
      </c>
      <c r="F214">
        <v>0.4</v>
      </c>
      <c r="G214">
        <v>1.4</v>
      </c>
      <c r="H214">
        <v>2.4</v>
      </c>
      <c r="I214">
        <v>5.7</v>
      </c>
      <c r="J214">
        <v>10.199999999999999</v>
      </c>
      <c r="K214">
        <v>18.8</v>
      </c>
      <c r="L214">
        <v>27.1</v>
      </c>
      <c r="M214">
        <v>19.2</v>
      </c>
      <c r="N214">
        <v>14.6</v>
      </c>
      <c r="O214">
        <v>19</v>
      </c>
      <c r="P21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7.7160000000000002</v>
      </c>
    </row>
    <row r="215" spans="1:16" x14ac:dyDescent="0.3">
      <c r="A215">
        <v>2022</v>
      </c>
      <c r="B215" t="s">
        <v>159</v>
      </c>
      <c r="C215" t="s">
        <v>224</v>
      </c>
      <c r="D215">
        <v>10403</v>
      </c>
      <c r="E215">
        <v>0.2</v>
      </c>
      <c r="F215">
        <v>0.3</v>
      </c>
      <c r="G215">
        <v>1.3</v>
      </c>
      <c r="H215">
        <v>2.8</v>
      </c>
      <c r="I215">
        <v>5.2</v>
      </c>
      <c r="J215">
        <v>7.5</v>
      </c>
      <c r="K215">
        <v>16.2</v>
      </c>
      <c r="L215">
        <v>26.7</v>
      </c>
      <c r="M215">
        <v>19.100000000000001</v>
      </c>
      <c r="N215">
        <v>20.6</v>
      </c>
      <c r="O215">
        <v>12.8</v>
      </c>
      <c r="P21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7.918000000000001</v>
      </c>
    </row>
    <row r="216" spans="1:16" x14ac:dyDescent="0.3">
      <c r="A216">
        <v>2022</v>
      </c>
      <c r="B216" t="s">
        <v>159</v>
      </c>
      <c r="C216" t="s">
        <v>225</v>
      </c>
      <c r="D216">
        <v>5545</v>
      </c>
      <c r="E216">
        <v>0.1</v>
      </c>
      <c r="F216">
        <v>0.4</v>
      </c>
      <c r="G216">
        <v>1.4</v>
      </c>
      <c r="H216">
        <v>3.2</v>
      </c>
      <c r="I216">
        <v>6</v>
      </c>
      <c r="J216">
        <v>8.6</v>
      </c>
      <c r="K216">
        <v>17</v>
      </c>
      <c r="L216">
        <v>26.3</v>
      </c>
      <c r="M216">
        <v>18.600000000000001</v>
      </c>
      <c r="N216">
        <v>18.3</v>
      </c>
      <c r="O216">
        <v>13.2</v>
      </c>
      <c r="P21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7.7930000000000001</v>
      </c>
    </row>
    <row r="217" spans="1:16" x14ac:dyDescent="0.3">
      <c r="A217">
        <v>2022</v>
      </c>
      <c r="B217" t="s">
        <v>159</v>
      </c>
      <c r="C217" t="s">
        <v>226</v>
      </c>
      <c r="D217">
        <v>4858</v>
      </c>
      <c r="E217">
        <v>0.3</v>
      </c>
      <c r="F217">
        <v>0.3</v>
      </c>
      <c r="G217">
        <v>1.3</v>
      </c>
      <c r="H217">
        <v>2.2999999999999998</v>
      </c>
      <c r="I217">
        <v>4.2</v>
      </c>
      <c r="J217">
        <v>6.2</v>
      </c>
      <c r="K217">
        <v>15.4</v>
      </c>
      <c r="L217">
        <v>27.2</v>
      </c>
      <c r="M217">
        <v>19.600000000000001</v>
      </c>
      <c r="N217">
        <v>23.2</v>
      </c>
      <c r="O217">
        <v>12.4</v>
      </c>
      <c r="P21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8.06</v>
      </c>
    </row>
    <row r="218" spans="1:16" x14ac:dyDescent="0.3">
      <c r="A218">
        <v>2022</v>
      </c>
      <c r="B218" t="s">
        <v>160</v>
      </c>
      <c r="C218" t="s">
        <v>224</v>
      </c>
      <c r="D218">
        <v>10862</v>
      </c>
      <c r="E218">
        <v>0.1</v>
      </c>
      <c r="F218">
        <v>0.1</v>
      </c>
      <c r="G218">
        <v>0.5</v>
      </c>
      <c r="H218">
        <v>2</v>
      </c>
      <c r="I218">
        <v>4.3</v>
      </c>
      <c r="J218">
        <v>6.1</v>
      </c>
      <c r="K218">
        <v>13.3</v>
      </c>
      <c r="L218">
        <v>25.9</v>
      </c>
      <c r="M218">
        <v>19.899999999999999</v>
      </c>
      <c r="N218">
        <v>27.9</v>
      </c>
      <c r="O218">
        <v>9</v>
      </c>
      <c r="P21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8.2629999999999999</v>
      </c>
    </row>
    <row r="219" spans="1:16" x14ac:dyDescent="0.3">
      <c r="A219">
        <v>2022</v>
      </c>
      <c r="B219" t="s">
        <v>160</v>
      </c>
      <c r="C219" t="s">
        <v>225</v>
      </c>
      <c r="D219">
        <v>5780</v>
      </c>
      <c r="E219">
        <v>0.1</v>
      </c>
      <c r="F219">
        <v>0.1</v>
      </c>
      <c r="G219">
        <v>0.5</v>
      </c>
      <c r="H219">
        <v>2.1</v>
      </c>
      <c r="I219">
        <v>5.0999999999999996</v>
      </c>
      <c r="J219">
        <v>7</v>
      </c>
      <c r="K219">
        <v>14.3</v>
      </c>
      <c r="L219">
        <v>25.6</v>
      </c>
      <c r="M219">
        <v>19.399999999999999</v>
      </c>
      <c r="N219">
        <v>25.8</v>
      </c>
      <c r="O219">
        <v>9.5</v>
      </c>
      <c r="P21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8.152000000000001</v>
      </c>
    </row>
    <row r="220" spans="1:16" x14ac:dyDescent="0.3">
      <c r="A220">
        <v>2022</v>
      </c>
      <c r="B220" t="s">
        <v>160</v>
      </c>
      <c r="C220" t="s">
        <v>226</v>
      </c>
      <c r="D220">
        <v>5082</v>
      </c>
      <c r="E220">
        <v>0.2</v>
      </c>
      <c r="F220">
        <v>0.1</v>
      </c>
      <c r="G220">
        <v>0.5</v>
      </c>
      <c r="H220">
        <v>1.8</v>
      </c>
      <c r="I220">
        <v>3.3</v>
      </c>
      <c r="J220">
        <v>5.0999999999999996</v>
      </c>
      <c r="K220">
        <v>12</v>
      </c>
      <c r="L220">
        <v>26.2</v>
      </c>
      <c r="M220">
        <v>20.399999999999999</v>
      </c>
      <c r="N220">
        <v>30.2</v>
      </c>
      <c r="O220">
        <v>8.3000000000000007</v>
      </c>
      <c r="P22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8.3539999999999992</v>
      </c>
    </row>
    <row r="221" spans="1:16" x14ac:dyDescent="0.3">
      <c r="A221">
        <v>2022</v>
      </c>
      <c r="B221" t="s">
        <v>161</v>
      </c>
      <c r="C221" t="s">
        <v>224</v>
      </c>
      <c r="D221">
        <v>10129</v>
      </c>
      <c r="E221">
        <v>0.2</v>
      </c>
      <c r="F221">
        <v>0.1</v>
      </c>
      <c r="G221">
        <v>0.8</v>
      </c>
      <c r="H221">
        <v>2.2999999999999998</v>
      </c>
      <c r="I221">
        <v>5.7</v>
      </c>
      <c r="J221">
        <v>9.1</v>
      </c>
      <c r="K221">
        <v>19.399999999999999</v>
      </c>
      <c r="L221">
        <v>27.8</v>
      </c>
      <c r="M221">
        <v>19.399999999999999</v>
      </c>
      <c r="N221">
        <v>15.2</v>
      </c>
      <c r="O221">
        <v>15.1</v>
      </c>
      <c r="P22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7.7989999999999995</v>
      </c>
    </row>
    <row r="222" spans="1:16" x14ac:dyDescent="0.3">
      <c r="A222">
        <v>2022</v>
      </c>
      <c r="B222" t="s">
        <v>161</v>
      </c>
      <c r="C222" t="s">
        <v>225</v>
      </c>
      <c r="D222">
        <v>5395</v>
      </c>
      <c r="E222">
        <v>0.2</v>
      </c>
      <c r="F222">
        <v>0.1</v>
      </c>
      <c r="G222">
        <v>0.8</v>
      </c>
      <c r="H222">
        <v>2.6</v>
      </c>
      <c r="I222">
        <v>6.5</v>
      </c>
      <c r="J222">
        <v>9.9</v>
      </c>
      <c r="K222">
        <v>21.3</v>
      </c>
      <c r="L222">
        <v>27</v>
      </c>
      <c r="M222">
        <v>18</v>
      </c>
      <c r="N222">
        <v>13.7</v>
      </c>
      <c r="O222">
        <v>15.6</v>
      </c>
      <c r="P22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7.6920000000000002</v>
      </c>
    </row>
    <row r="223" spans="1:16" x14ac:dyDescent="0.3">
      <c r="A223">
        <v>2022</v>
      </c>
      <c r="B223" t="s">
        <v>161</v>
      </c>
      <c r="C223" t="s">
        <v>226</v>
      </c>
      <c r="D223">
        <v>4734</v>
      </c>
      <c r="E223">
        <v>0.2</v>
      </c>
      <c r="F223">
        <v>0</v>
      </c>
      <c r="G223">
        <v>0.8</v>
      </c>
      <c r="H223">
        <v>1.9</v>
      </c>
      <c r="I223">
        <v>4.9000000000000004</v>
      </c>
      <c r="J223">
        <v>8.1999999999999993</v>
      </c>
      <c r="K223">
        <v>17.2</v>
      </c>
      <c r="L223">
        <v>28.7</v>
      </c>
      <c r="M223">
        <v>21</v>
      </c>
      <c r="N223">
        <v>17</v>
      </c>
      <c r="O223">
        <v>14.6</v>
      </c>
      <c r="P22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7.9290000000000003</v>
      </c>
    </row>
    <row r="224" spans="1:16" x14ac:dyDescent="0.3">
      <c r="A224">
        <v>2022</v>
      </c>
      <c r="B224" t="s">
        <v>162</v>
      </c>
      <c r="C224" t="s">
        <v>224</v>
      </c>
      <c r="D224">
        <v>9977</v>
      </c>
      <c r="E224">
        <v>0.5</v>
      </c>
      <c r="F224">
        <v>0.5</v>
      </c>
      <c r="G224">
        <v>2.2000000000000002</v>
      </c>
      <c r="H224">
        <v>3.2</v>
      </c>
      <c r="I224">
        <v>8</v>
      </c>
      <c r="J224">
        <v>11.8</v>
      </c>
      <c r="K224">
        <v>20.2</v>
      </c>
      <c r="L224">
        <v>25.3</v>
      </c>
      <c r="M224">
        <v>15.8</v>
      </c>
      <c r="N224">
        <v>12.4</v>
      </c>
      <c r="O224">
        <v>16.399999999999999</v>
      </c>
      <c r="P22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7.4170000000000016</v>
      </c>
    </row>
    <row r="225" spans="1:16" x14ac:dyDescent="0.3">
      <c r="A225">
        <v>2022</v>
      </c>
      <c r="B225" t="s">
        <v>162</v>
      </c>
      <c r="C225" t="s">
        <v>225</v>
      </c>
      <c r="D225">
        <v>5320</v>
      </c>
      <c r="E225">
        <v>0.5</v>
      </c>
      <c r="F225">
        <v>0.5</v>
      </c>
      <c r="G225">
        <v>2.2999999999999998</v>
      </c>
      <c r="H225">
        <v>3.8</v>
      </c>
      <c r="I225">
        <v>8.6</v>
      </c>
      <c r="J225">
        <v>12.9</v>
      </c>
      <c r="K225">
        <v>21.3</v>
      </c>
      <c r="L225">
        <v>24.6</v>
      </c>
      <c r="M225">
        <v>14.8</v>
      </c>
      <c r="N225">
        <v>10.6</v>
      </c>
      <c r="O225">
        <v>16.7</v>
      </c>
      <c r="P22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7.2910000000000004</v>
      </c>
    </row>
    <row r="226" spans="1:16" x14ac:dyDescent="0.3">
      <c r="A226">
        <v>2022</v>
      </c>
      <c r="B226" t="s">
        <v>162</v>
      </c>
      <c r="C226" t="s">
        <v>226</v>
      </c>
      <c r="D226">
        <v>4657</v>
      </c>
      <c r="E226">
        <v>0.5</v>
      </c>
      <c r="F226">
        <v>0.6</v>
      </c>
      <c r="G226">
        <v>2.1</v>
      </c>
      <c r="H226">
        <v>2.6</v>
      </c>
      <c r="I226">
        <v>7.2</v>
      </c>
      <c r="J226">
        <v>10.6</v>
      </c>
      <c r="K226">
        <v>19</v>
      </c>
      <c r="L226">
        <v>26</v>
      </c>
      <c r="M226">
        <v>16.899999999999999</v>
      </c>
      <c r="N226">
        <v>14.5</v>
      </c>
      <c r="O226">
        <v>16</v>
      </c>
      <c r="P22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7.5609999999999999</v>
      </c>
    </row>
    <row r="227" spans="1:16" x14ac:dyDescent="0.3">
      <c r="A227">
        <v>2022</v>
      </c>
      <c r="B227" t="s">
        <v>163</v>
      </c>
      <c r="C227" t="s">
        <v>224</v>
      </c>
      <c r="D227">
        <v>10632</v>
      </c>
      <c r="E227">
        <v>0.5</v>
      </c>
      <c r="F227">
        <v>0.4</v>
      </c>
      <c r="G227">
        <v>1.3</v>
      </c>
      <c r="H227">
        <v>3</v>
      </c>
      <c r="I227">
        <v>6.4</v>
      </c>
      <c r="J227">
        <v>9.8000000000000007</v>
      </c>
      <c r="K227">
        <v>23.7</v>
      </c>
      <c r="L227">
        <v>29.5</v>
      </c>
      <c r="M227">
        <v>15</v>
      </c>
      <c r="N227">
        <v>10.5</v>
      </c>
      <c r="O227">
        <v>10.9</v>
      </c>
      <c r="P22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7.4989999999999997</v>
      </c>
    </row>
    <row r="228" spans="1:16" x14ac:dyDescent="0.3">
      <c r="A228">
        <v>2022</v>
      </c>
      <c r="B228" t="s">
        <v>163</v>
      </c>
      <c r="C228" t="s">
        <v>225</v>
      </c>
      <c r="D228">
        <v>5674</v>
      </c>
      <c r="E228">
        <v>0.6</v>
      </c>
      <c r="F228">
        <v>0.5</v>
      </c>
      <c r="G228">
        <v>1.4</v>
      </c>
      <c r="H228">
        <v>3.2</v>
      </c>
      <c r="I228">
        <v>6.8</v>
      </c>
      <c r="J228">
        <v>11.2</v>
      </c>
      <c r="K228">
        <v>24.2</v>
      </c>
      <c r="L228">
        <v>28.5</v>
      </c>
      <c r="M228">
        <v>14</v>
      </c>
      <c r="N228">
        <v>9.6999999999999993</v>
      </c>
      <c r="O228">
        <v>11.2</v>
      </c>
      <c r="P22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7.4019999999999992</v>
      </c>
    </row>
    <row r="229" spans="1:16" x14ac:dyDescent="0.3">
      <c r="A229">
        <v>2022</v>
      </c>
      <c r="B229" t="s">
        <v>163</v>
      </c>
      <c r="C229" t="s">
        <v>226</v>
      </c>
      <c r="D229">
        <v>4958</v>
      </c>
      <c r="E229">
        <v>0.4</v>
      </c>
      <c r="F229">
        <v>0.3</v>
      </c>
      <c r="G229">
        <v>1.3</v>
      </c>
      <c r="H229">
        <v>2.8</v>
      </c>
      <c r="I229">
        <v>5.9</v>
      </c>
      <c r="J229">
        <v>8.1</v>
      </c>
      <c r="K229">
        <v>23.1</v>
      </c>
      <c r="L229">
        <v>30.6</v>
      </c>
      <c r="M229">
        <v>16.2</v>
      </c>
      <c r="N229">
        <v>11.3</v>
      </c>
      <c r="O229">
        <v>10.6</v>
      </c>
      <c r="P22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7.5949999999999998</v>
      </c>
    </row>
    <row r="230" spans="1:16" x14ac:dyDescent="0.3">
      <c r="A230">
        <v>2022</v>
      </c>
      <c r="B230" t="s">
        <v>164</v>
      </c>
      <c r="C230" t="s">
        <v>224</v>
      </c>
      <c r="D230">
        <v>10733</v>
      </c>
      <c r="E230">
        <v>0.3</v>
      </c>
      <c r="F230">
        <v>0.4</v>
      </c>
      <c r="G230">
        <v>1.9</v>
      </c>
      <c r="H230">
        <v>3.3</v>
      </c>
      <c r="I230">
        <v>6.7</v>
      </c>
      <c r="J230">
        <v>11.5</v>
      </c>
      <c r="K230">
        <v>22</v>
      </c>
      <c r="L230">
        <v>30.2</v>
      </c>
      <c r="M230">
        <v>14.3</v>
      </c>
      <c r="N230">
        <v>9.4</v>
      </c>
      <c r="O230">
        <v>10.1</v>
      </c>
      <c r="P23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7.4079999999999995</v>
      </c>
    </row>
    <row r="231" spans="1:16" x14ac:dyDescent="0.3">
      <c r="A231">
        <v>2022</v>
      </c>
      <c r="B231" t="s">
        <v>164</v>
      </c>
      <c r="C231" t="s">
        <v>225</v>
      </c>
      <c r="D231">
        <v>5730</v>
      </c>
      <c r="E231">
        <v>0.3</v>
      </c>
      <c r="F231">
        <v>0.4</v>
      </c>
      <c r="G231">
        <v>2.1</v>
      </c>
      <c r="H231">
        <v>3.5</v>
      </c>
      <c r="I231">
        <v>7</v>
      </c>
      <c r="J231">
        <v>13.2</v>
      </c>
      <c r="K231">
        <v>22.2</v>
      </c>
      <c r="L231">
        <v>29.6</v>
      </c>
      <c r="M231">
        <v>13</v>
      </c>
      <c r="N231">
        <v>8.6999999999999993</v>
      </c>
      <c r="O231">
        <v>10.3</v>
      </c>
      <c r="P23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7.3180000000000005</v>
      </c>
    </row>
    <row r="232" spans="1:16" x14ac:dyDescent="0.3">
      <c r="A232">
        <v>2022</v>
      </c>
      <c r="B232" t="s">
        <v>164</v>
      </c>
      <c r="C232" t="s">
        <v>226</v>
      </c>
      <c r="D232">
        <v>5003</v>
      </c>
      <c r="E232">
        <v>0.3</v>
      </c>
      <c r="F232">
        <v>0.3</v>
      </c>
      <c r="G232">
        <v>1.7</v>
      </c>
      <c r="H232">
        <v>3.2</v>
      </c>
      <c r="I232">
        <v>6.5</v>
      </c>
      <c r="J232">
        <v>9.5</v>
      </c>
      <c r="K232">
        <v>21.7</v>
      </c>
      <c r="L232">
        <v>30.9</v>
      </c>
      <c r="M232">
        <v>15.8</v>
      </c>
      <c r="N232">
        <v>10.199999999999999</v>
      </c>
      <c r="O232">
        <v>9.8000000000000007</v>
      </c>
      <c r="P23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7.516</v>
      </c>
    </row>
    <row r="233" spans="1:16" x14ac:dyDescent="0.3">
      <c r="A233">
        <v>2022</v>
      </c>
      <c r="B233" t="s">
        <v>124</v>
      </c>
      <c r="C233" t="s">
        <v>224</v>
      </c>
      <c r="D233">
        <v>10732</v>
      </c>
      <c r="E233">
        <v>0.9</v>
      </c>
      <c r="F233">
        <v>0.7</v>
      </c>
      <c r="G233">
        <v>2</v>
      </c>
      <c r="H233">
        <v>4.0999999999999996</v>
      </c>
      <c r="I233">
        <v>6.8</v>
      </c>
      <c r="J233">
        <v>10.199999999999999</v>
      </c>
      <c r="K233">
        <v>21.5</v>
      </c>
      <c r="L233">
        <v>29.4</v>
      </c>
      <c r="M233">
        <v>14.3</v>
      </c>
      <c r="N233">
        <v>10.1</v>
      </c>
      <c r="O233">
        <v>10.1</v>
      </c>
      <c r="P23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7.3529999999999989</v>
      </c>
    </row>
    <row r="234" spans="1:16" x14ac:dyDescent="0.3">
      <c r="A234">
        <v>2022</v>
      </c>
      <c r="B234" t="s">
        <v>124</v>
      </c>
      <c r="C234" t="s">
        <v>225</v>
      </c>
      <c r="D234">
        <v>5727</v>
      </c>
      <c r="E234">
        <v>0.8</v>
      </c>
      <c r="F234">
        <v>0.8</v>
      </c>
      <c r="G234">
        <v>1.9</v>
      </c>
      <c r="H234">
        <v>4</v>
      </c>
      <c r="I234">
        <v>7.2</v>
      </c>
      <c r="J234">
        <v>11.5</v>
      </c>
      <c r="K234">
        <v>22.5</v>
      </c>
      <c r="L234">
        <v>28.5</v>
      </c>
      <c r="M234">
        <v>13.3</v>
      </c>
      <c r="N234">
        <v>9.5</v>
      </c>
      <c r="O234">
        <v>10.4</v>
      </c>
      <c r="P23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7.2929999999999993</v>
      </c>
    </row>
    <row r="235" spans="1:16" x14ac:dyDescent="0.3">
      <c r="A235">
        <v>2022</v>
      </c>
      <c r="B235" t="s">
        <v>124</v>
      </c>
      <c r="C235" t="s">
        <v>226</v>
      </c>
      <c r="D235">
        <v>5005</v>
      </c>
      <c r="E235">
        <v>0.9</v>
      </c>
      <c r="F235">
        <v>0.6</v>
      </c>
      <c r="G235">
        <v>2.1</v>
      </c>
      <c r="H235">
        <v>4.0999999999999996</v>
      </c>
      <c r="I235">
        <v>6.3</v>
      </c>
      <c r="J235">
        <v>8.6999999999999993</v>
      </c>
      <c r="K235">
        <v>20.399999999999999</v>
      </c>
      <c r="L235">
        <v>30.5</v>
      </c>
      <c r="M235">
        <v>15.5</v>
      </c>
      <c r="N235">
        <v>10.7</v>
      </c>
      <c r="O235">
        <v>9.6999999999999993</v>
      </c>
      <c r="P23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7.4179999999999993</v>
      </c>
    </row>
    <row r="236" spans="1:16" x14ac:dyDescent="0.3">
      <c r="A236">
        <v>2022</v>
      </c>
      <c r="B236" t="s">
        <v>125</v>
      </c>
      <c r="C236" t="s">
        <v>224</v>
      </c>
      <c r="D236">
        <v>11381</v>
      </c>
      <c r="E236">
        <v>0.2</v>
      </c>
      <c r="F236">
        <v>0.2</v>
      </c>
      <c r="G236">
        <v>1.5</v>
      </c>
      <c r="H236">
        <v>3.2</v>
      </c>
      <c r="I236">
        <v>5.8</v>
      </c>
      <c r="J236">
        <v>9.1</v>
      </c>
      <c r="K236">
        <v>19.399999999999999</v>
      </c>
      <c r="L236">
        <v>30.3</v>
      </c>
      <c r="M236">
        <v>16.399999999999999</v>
      </c>
      <c r="N236">
        <v>13.7</v>
      </c>
      <c r="O236">
        <v>4.5999999999999996</v>
      </c>
      <c r="P23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7.6429999999999998</v>
      </c>
    </row>
    <row r="237" spans="1:16" x14ac:dyDescent="0.3">
      <c r="A237">
        <v>2022</v>
      </c>
      <c r="B237" t="s">
        <v>125</v>
      </c>
      <c r="C237" t="s">
        <v>225</v>
      </c>
      <c r="D237">
        <v>6114</v>
      </c>
      <c r="E237">
        <v>0.2</v>
      </c>
      <c r="F237">
        <v>0.2</v>
      </c>
      <c r="G237">
        <v>1.6</v>
      </c>
      <c r="H237">
        <v>3</v>
      </c>
      <c r="I237">
        <v>6.1</v>
      </c>
      <c r="J237">
        <v>10.199999999999999</v>
      </c>
      <c r="K237">
        <v>19.600000000000001</v>
      </c>
      <c r="L237">
        <v>30</v>
      </c>
      <c r="M237">
        <v>15.9</v>
      </c>
      <c r="N237">
        <v>13.3</v>
      </c>
      <c r="O237">
        <v>4.3</v>
      </c>
      <c r="P23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7.6239999999999997</v>
      </c>
    </row>
    <row r="238" spans="1:16" x14ac:dyDescent="0.3">
      <c r="A238">
        <v>2022</v>
      </c>
      <c r="B238" t="s">
        <v>125</v>
      </c>
      <c r="C238" t="s">
        <v>226</v>
      </c>
      <c r="D238">
        <v>5267</v>
      </c>
      <c r="E238">
        <v>0.2</v>
      </c>
      <c r="F238">
        <v>0.2</v>
      </c>
      <c r="G238">
        <v>1.5</v>
      </c>
      <c r="H238">
        <v>3.4</v>
      </c>
      <c r="I238">
        <v>5.6</v>
      </c>
      <c r="J238">
        <v>8</v>
      </c>
      <c r="K238">
        <v>19.3</v>
      </c>
      <c r="L238">
        <v>30.8</v>
      </c>
      <c r="M238">
        <v>17</v>
      </c>
      <c r="N238">
        <v>14</v>
      </c>
      <c r="O238">
        <v>5</v>
      </c>
      <c r="P23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7.6920000000000002</v>
      </c>
    </row>
    <row r="239" spans="1:16" x14ac:dyDescent="0.3">
      <c r="A239">
        <v>2022</v>
      </c>
      <c r="B239" t="s">
        <v>165</v>
      </c>
      <c r="C239" t="s">
        <v>224</v>
      </c>
      <c r="D239">
        <v>10185</v>
      </c>
      <c r="E239">
        <v>0.2</v>
      </c>
      <c r="F239">
        <v>0.2</v>
      </c>
      <c r="G239">
        <v>0.7</v>
      </c>
      <c r="H239">
        <v>2.7</v>
      </c>
      <c r="I239">
        <v>5.3</v>
      </c>
      <c r="J239">
        <v>9.4</v>
      </c>
      <c r="K239">
        <v>19.399999999999999</v>
      </c>
      <c r="L239">
        <v>30.1</v>
      </c>
      <c r="M239">
        <v>17.600000000000001</v>
      </c>
      <c r="N239">
        <v>14.6</v>
      </c>
      <c r="O239">
        <v>14.7</v>
      </c>
      <c r="P23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7.774</v>
      </c>
    </row>
    <row r="240" spans="1:16" x14ac:dyDescent="0.3">
      <c r="A240">
        <v>2022</v>
      </c>
      <c r="B240" t="s">
        <v>165</v>
      </c>
      <c r="C240" t="s">
        <v>225</v>
      </c>
      <c r="D240">
        <v>5443</v>
      </c>
      <c r="E240">
        <v>0.2</v>
      </c>
      <c r="F240">
        <v>0.2</v>
      </c>
      <c r="G240">
        <v>0.8</v>
      </c>
      <c r="H240">
        <v>2.7</v>
      </c>
      <c r="I240">
        <v>5.6</v>
      </c>
      <c r="J240">
        <v>10</v>
      </c>
      <c r="K240">
        <v>20</v>
      </c>
      <c r="L240">
        <v>30.3</v>
      </c>
      <c r="M240">
        <v>16.600000000000001</v>
      </c>
      <c r="N240">
        <v>13.7</v>
      </c>
      <c r="O240">
        <v>14.8</v>
      </c>
      <c r="P24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7.7060000000000004</v>
      </c>
    </row>
    <row r="241" spans="1:16" x14ac:dyDescent="0.3">
      <c r="A241">
        <v>2022</v>
      </c>
      <c r="B241" t="s">
        <v>165</v>
      </c>
      <c r="C241" t="s">
        <v>226</v>
      </c>
      <c r="D241">
        <v>4742</v>
      </c>
      <c r="E241">
        <v>0.2</v>
      </c>
      <c r="F241">
        <v>0.1</v>
      </c>
      <c r="G241">
        <v>0.6</v>
      </c>
      <c r="H241">
        <v>2.7</v>
      </c>
      <c r="I241">
        <v>4.9000000000000004</v>
      </c>
      <c r="J241">
        <v>8.6999999999999993</v>
      </c>
      <c r="K241">
        <v>18.600000000000001</v>
      </c>
      <c r="L241">
        <v>29.8</v>
      </c>
      <c r="M241">
        <v>18.7</v>
      </c>
      <c r="N241">
        <v>15.6</v>
      </c>
      <c r="O241">
        <v>14.5</v>
      </c>
      <c r="P24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7.8260000000000005</v>
      </c>
    </row>
    <row r="242" spans="1:16" x14ac:dyDescent="0.3">
      <c r="A242">
        <v>2022</v>
      </c>
      <c r="B242" t="s">
        <v>166</v>
      </c>
      <c r="C242" t="s">
        <v>224</v>
      </c>
      <c r="D242">
        <v>9826</v>
      </c>
      <c r="E242">
        <v>0.3</v>
      </c>
      <c r="F242">
        <v>0.2</v>
      </c>
      <c r="G242">
        <v>1.1000000000000001</v>
      </c>
      <c r="H242">
        <v>3.3</v>
      </c>
      <c r="I242">
        <v>6.2</v>
      </c>
      <c r="J242">
        <v>10.3</v>
      </c>
      <c r="K242">
        <v>23.1</v>
      </c>
      <c r="L242">
        <v>31.4</v>
      </c>
      <c r="M242">
        <v>14.5</v>
      </c>
      <c r="N242">
        <v>9.6999999999999993</v>
      </c>
      <c r="O242">
        <v>17.7</v>
      </c>
      <c r="P24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7.5040000000000004</v>
      </c>
    </row>
    <row r="243" spans="1:16" x14ac:dyDescent="0.3">
      <c r="A243">
        <v>2022</v>
      </c>
      <c r="B243" t="s">
        <v>166</v>
      </c>
      <c r="C243" t="s">
        <v>225</v>
      </c>
      <c r="D243">
        <v>5225</v>
      </c>
      <c r="E243">
        <v>0.2</v>
      </c>
      <c r="F243">
        <v>0.2</v>
      </c>
      <c r="G243">
        <v>1.2</v>
      </c>
      <c r="H243">
        <v>3.3</v>
      </c>
      <c r="I243">
        <v>6.7</v>
      </c>
      <c r="J243">
        <v>11.7</v>
      </c>
      <c r="K243">
        <v>23.8</v>
      </c>
      <c r="L243">
        <v>31</v>
      </c>
      <c r="M243">
        <v>12.8</v>
      </c>
      <c r="N243">
        <v>9</v>
      </c>
      <c r="O243">
        <v>18.2</v>
      </c>
      <c r="P24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7.4089999999999998</v>
      </c>
    </row>
    <row r="244" spans="1:16" x14ac:dyDescent="0.3">
      <c r="A244">
        <v>2022</v>
      </c>
      <c r="B244" t="s">
        <v>166</v>
      </c>
      <c r="C244" t="s">
        <v>226</v>
      </c>
      <c r="D244">
        <v>4601</v>
      </c>
      <c r="E244">
        <v>0.3</v>
      </c>
      <c r="F244">
        <v>0.1</v>
      </c>
      <c r="G244">
        <v>0.9</v>
      </c>
      <c r="H244">
        <v>3.3</v>
      </c>
      <c r="I244">
        <v>5.7</v>
      </c>
      <c r="J244">
        <v>8.6999999999999993</v>
      </c>
      <c r="K244">
        <v>22.1</v>
      </c>
      <c r="L244">
        <v>31.9</v>
      </c>
      <c r="M244">
        <v>16.5</v>
      </c>
      <c r="N244">
        <v>10.5</v>
      </c>
      <c r="O244">
        <v>17</v>
      </c>
      <c r="P24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7.6050000000000004</v>
      </c>
    </row>
    <row r="245" spans="1:16" x14ac:dyDescent="0.3">
      <c r="A245">
        <v>2022</v>
      </c>
      <c r="B245" t="s">
        <v>167</v>
      </c>
      <c r="C245" t="s">
        <v>224</v>
      </c>
      <c r="D245">
        <v>10942</v>
      </c>
      <c r="E245">
        <v>1.5</v>
      </c>
      <c r="F245">
        <v>3.1</v>
      </c>
      <c r="G245">
        <v>6.6</v>
      </c>
      <c r="H245">
        <v>7.5</v>
      </c>
      <c r="I245">
        <v>10.1</v>
      </c>
      <c r="J245">
        <v>13</v>
      </c>
      <c r="K245">
        <v>21.4</v>
      </c>
      <c r="L245">
        <v>22.1</v>
      </c>
      <c r="M245">
        <v>10.4</v>
      </c>
      <c r="N245">
        <v>4.4000000000000004</v>
      </c>
      <c r="O245">
        <v>8.3000000000000007</v>
      </c>
      <c r="P24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6.5019999999999998</v>
      </c>
    </row>
    <row r="246" spans="1:16" x14ac:dyDescent="0.3">
      <c r="A246">
        <v>2022</v>
      </c>
      <c r="B246" t="s">
        <v>167</v>
      </c>
      <c r="C246" t="s">
        <v>225</v>
      </c>
      <c r="D246">
        <v>5886</v>
      </c>
      <c r="E246">
        <v>1.5</v>
      </c>
      <c r="F246">
        <v>3.1</v>
      </c>
      <c r="G246">
        <v>6.9</v>
      </c>
      <c r="H246">
        <v>7.8</v>
      </c>
      <c r="I246">
        <v>10.5</v>
      </c>
      <c r="J246">
        <v>13.9</v>
      </c>
      <c r="K246">
        <v>21.4</v>
      </c>
      <c r="L246">
        <v>21.9</v>
      </c>
      <c r="M246">
        <v>9.3000000000000007</v>
      </c>
      <c r="N246">
        <v>3.7</v>
      </c>
      <c r="O246">
        <v>7.9</v>
      </c>
      <c r="P24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6.4119999999999999</v>
      </c>
    </row>
    <row r="247" spans="1:16" x14ac:dyDescent="0.3">
      <c r="A247">
        <v>2022</v>
      </c>
      <c r="B247" t="s">
        <v>167</v>
      </c>
      <c r="C247" t="s">
        <v>226</v>
      </c>
      <c r="D247">
        <v>5056</v>
      </c>
      <c r="E247">
        <v>1.4</v>
      </c>
      <c r="F247">
        <v>3.1</v>
      </c>
      <c r="G247">
        <v>6.3</v>
      </c>
      <c r="H247">
        <v>7</v>
      </c>
      <c r="I247">
        <v>9.8000000000000007</v>
      </c>
      <c r="J247">
        <v>11.9</v>
      </c>
      <c r="K247">
        <v>21.3</v>
      </c>
      <c r="L247">
        <v>22.3</v>
      </c>
      <c r="M247">
        <v>11.6</v>
      </c>
      <c r="N247">
        <v>5.2</v>
      </c>
      <c r="O247">
        <v>8.8000000000000007</v>
      </c>
      <c r="P24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6.5879999999999992</v>
      </c>
    </row>
    <row r="248" spans="1:16" x14ac:dyDescent="0.3">
      <c r="A248">
        <v>2022</v>
      </c>
      <c r="B248" t="s">
        <v>168</v>
      </c>
      <c r="C248" t="s">
        <v>224</v>
      </c>
      <c r="D248">
        <v>10936</v>
      </c>
      <c r="E248">
        <v>0.5</v>
      </c>
      <c r="F248">
        <v>2</v>
      </c>
      <c r="G248">
        <v>3.4</v>
      </c>
      <c r="H248">
        <v>6.5</v>
      </c>
      <c r="I248">
        <v>8.6999999999999993</v>
      </c>
      <c r="J248">
        <v>11</v>
      </c>
      <c r="K248">
        <v>19.8</v>
      </c>
      <c r="L248">
        <v>26</v>
      </c>
      <c r="M248">
        <v>13.9</v>
      </c>
      <c r="N248">
        <v>8.1999999999999993</v>
      </c>
      <c r="O248">
        <v>8.4</v>
      </c>
      <c r="P24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7.0390000000000006</v>
      </c>
    </row>
    <row r="249" spans="1:16" x14ac:dyDescent="0.3">
      <c r="A249">
        <v>2022</v>
      </c>
      <c r="B249" t="s">
        <v>168</v>
      </c>
      <c r="C249" t="s">
        <v>225</v>
      </c>
      <c r="D249">
        <v>5885</v>
      </c>
      <c r="E249">
        <v>0.4</v>
      </c>
      <c r="F249">
        <v>2</v>
      </c>
      <c r="G249">
        <v>3.4</v>
      </c>
      <c r="H249">
        <v>6.9</v>
      </c>
      <c r="I249">
        <v>9.4</v>
      </c>
      <c r="J249">
        <v>11.8</v>
      </c>
      <c r="K249">
        <v>20.5</v>
      </c>
      <c r="L249">
        <v>25.7</v>
      </c>
      <c r="M249">
        <v>12.5</v>
      </c>
      <c r="N249">
        <v>7.3</v>
      </c>
      <c r="O249">
        <v>7.9</v>
      </c>
      <c r="P24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6.9459999999999997</v>
      </c>
    </row>
    <row r="250" spans="1:16" x14ac:dyDescent="0.3">
      <c r="A250">
        <v>2022</v>
      </c>
      <c r="B250" t="s">
        <v>168</v>
      </c>
      <c r="C250" t="s">
        <v>226</v>
      </c>
      <c r="D250">
        <v>5051</v>
      </c>
      <c r="E250">
        <v>0.5</v>
      </c>
      <c r="F250">
        <v>2</v>
      </c>
      <c r="G250">
        <v>3.3</v>
      </c>
      <c r="H250">
        <v>6</v>
      </c>
      <c r="I250">
        <v>7.9</v>
      </c>
      <c r="J250">
        <v>10.1</v>
      </c>
      <c r="K250">
        <v>18.899999999999999</v>
      </c>
      <c r="L250">
        <v>26.3</v>
      </c>
      <c r="M250">
        <v>15.6</v>
      </c>
      <c r="N250">
        <v>9.3000000000000007</v>
      </c>
      <c r="O250">
        <v>8.9</v>
      </c>
      <c r="P25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7.145999999999999</v>
      </c>
    </row>
    <row r="251" spans="1:16" x14ac:dyDescent="0.3">
      <c r="A251">
        <v>2022</v>
      </c>
      <c r="B251" t="s">
        <v>169</v>
      </c>
      <c r="C251" t="s">
        <v>224</v>
      </c>
      <c r="D251">
        <v>10846</v>
      </c>
      <c r="E251">
        <v>0.4</v>
      </c>
      <c r="F251">
        <v>1.8</v>
      </c>
      <c r="G251">
        <v>2.9</v>
      </c>
      <c r="H251">
        <v>4.7</v>
      </c>
      <c r="I251">
        <v>7.5</v>
      </c>
      <c r="J251">
        <v>11</v>
      </c>
      <c r="K251">
        <v>19</v>
      </c>
      <c r="L251">
        <v>27.3</v>
      </c>
      <c r="M251">
        <v>15.9</v>
      </c>
      <c r="N251">
        <v>9.5</v>
      </c>
      <c r="O251">
        <v>9.1</v>
      </c>
      <c r="P25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7.245000000000001</v>
      </c>
    </row>
    <row r="252" spans="1:16" x14ac:dyDescent="0.3">
      <c r="A252">
        <v>2022</v>
      </c>
      <c r="B252" t="s">
        <v>169</v>
      </c>
      <c r="C252" t="s">
        <v>225</v>
      </c>
      <c r="D252">
        <v>5838</v>
      </c>
      <c r="E252">
        <v>0.4</v>
      </c>
      <c r="F252">
        <v>1.7</v>
      </c>
      <c r="G252">
        <v>3.1</v>
      </c>
      <c r="H252">
        <v>4.8</v>
      </c>
      <c r="I252">
        <v>7.8</v>
      </c>
      <c r="J252">
        <v>11.7</v>
      </c>
      <c r="K252">
        <v>20</v>
      </c>
      <c r="L252">
        <v>26.6</v>
      </c>
      <c r="M252">
        <v>15.2</v>
      </c>
      <c r="N252">
        <v>8.6</v>
      </c>
      <c r="O252">
        <v>8.6</v>
      </c>
      <c r="P25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7.1710000000000003</v>
      </c>
    </row>
    <row r="253" spans="1:16" x14ac:dyDescent="0.3">
      <c r="A253">
        <v>2022</v>
      </c>
      <c r="B253" t="s">
        <v>169</v>
      </c>
      <c r="C253" t="s">
        <v>226</v>
      </c>
      <c r="D253">
        <v>5008</v>
      </c>
      <c r="E253">
        <v>0.3</v>
      </c>
      <c r="F253">
        <v>1.9</v>
      </c>
      <c r="G253">
        <v>2.6</v>
      </c>
      <c r="H253">
        <v>4.5999999999999996</v>
      </c>
      <c r="I253">
        <v>7.1</v>
      </c>
      <c r="J253">
        <v>10.1</v>
      </c>
      <c r="K253">
        <v>17.899999999999999</v>
      </c>
      <c r="L253">
        <v>28.2</v>
      </c>
      <c r="M253">
        <v>16.8</v>
      </c>
      <c r="N253">
        <v>10.5</v>
      </c>
      <c r="O253">
        <v>9.6999999999999993</v>
      </c>
      <c r="P25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7.335</v>
      </c>
    </row>
    <row r="254" spans="1:16" x14ac:dyDescent="0.3">
      <c r="A254">
        <v>2022</v>
      </c>
      <c r="B254" t="s">
        <v>170</v>
      </c>
      <c r="C254" t="s">
        <v>224</v>
      </c>
      <c r="D254">
        <v>11488</v>
      </c>
      <c r="E254">
        <v>0.5</v>
      </c>
      <c r="F254">
        <v>0.3</v>
      </c>
      <c r="G254">
        <v>0.9</v>
      </c>
      <c r="H254">
        <v>2.5</v>
      </c>
      <c r="I254">
        <v>4.2</v>
      </c>
      <c r="J254">
        <v>7.4</v>
      </c>
      <c r="K254">
        <v>16.600000000000001</v>
      </c>
      <c r="L254">
        <v>26.7</v>
      </c>
      <c r="M254">
        <v>19</v>
      </c>
      <c r="N254">
        <v>21.9</v>
      </c>
      <c r="O254">
        <v>3.7</v>
      </c>
      <c r="P25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7.99</v>
      </c>
    </row>
    <row r="255" spans="1:16" x14ac:dyDescent="0.3">
      <c r="A255">
        <v>2022</v>
      </c>
      <c r="B255" t="s">
        <v>170</v>
      </c>
      <c r="C255" t="s">
        <v>225</v>
      </c>
      <c r="D255">
        <v>6128</v>
      </c>
      <c r="E255">
        <v>0.5</v>
      </c>
      <c r="F255">
        <v>0.3</v>
      </c>
      <c r="G255">
        <v>0.9</v>
      </c>
      <c r="H255">
        <v>2.8</v>
      </c>
      <c r="I255">
        <v>4.5</v>
      </c>
      <c r="J255">
        <v>8.1999999999999993</v>
      </c>
      <c r="K255">
        <v>17.600000000000001</v>
      </c>
      <c r="L255">
        <v>27.9</v>
      </c>
      <c r="M255">
        <v>18.399999999999999</v>
      </c>
      <c r="N255">
        <v>19</v>
      </c>
      <c r="O255">
        <v>4.0999999999999996</v>
      </c>
      <c r="P25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7.8869999999999987</v>
      </c>
    </row>
    <row r="256" spans="1:16" x14ac:dyDescent="0.3">
      <c r="A256">
        <v>2022</v>
      </c>
      <c r="B256" t="s">
        <v>170</v>
      </c>
      <c r="C256" t="s">
        <v>226</v>
      </c>
      <c r="D256">
        <v>5360</v>
      </c>
      <c r="E256">
        <v>0.4</v>
      </c>
      <c r="F256">
        <v>0.3</v>
      </c>
      <c r="G256">
        <v>0.9</v>
      </c>
      <c r="H256">
        <v>2.2000000000000002</v>
      </c>
      <c r="I256">
        <v>3.8</v>
      </c>
      <c r="J256">
        <v>6.6</v>
      </c>
      <c r="K256">
        <v>15.5</v>
      </c>
      <c r="L256">
        <v>25.3</v>
      </c>
      <c r="M256">
        <v>19.7</v>
      </c>
      <c r="N256">
        <v>25.2</v>
      </c>
      <c r="O256">
        <v>3.3</v>
      </c>
      <c r="P25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8.1129999999999995</v>
      </c>
    </row>
    <row r="257" spans="1:16" x14ac:dyDescent="0.3">
      <c r="A257">
        <v>2023</v>
      </c>
      <c r="B257" t="s">
        <v>118</v>
      </c>
      <c r="C257" t="s">
        <v>224</v>
      </c>
      <c r="D257">
        <v>11932</v>
      </c>
      <c r="E257">
        <v>0</v>
      </c>
      <c r="F257">
        <v>0.1</v>
      </c>
      <c r="G257">
        <v>0.4</v>
      </c>
      <c r="H257">
        <v>2</v>
      </c>
      <c r="I257">
        <v>4.7</v>
      </c>
      <c r="J257">
        <v>9.1999999999999993</v>
      </c>
      <c r="K257">
        <v>39.5</v>
      </c>
      <c r="L257">
        <v>19.600000000000001</v>
      </c>
      <c r="M257">
        <v>12.2</v>
      </c>
      <c r="N257">
        <v>12.4</v>
      </c>
      <c r="O257">
        <v>0.2</v>
      </c>
      <c r="P25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7.5520000000000005</v>
      </c>
    </row>
    <row r="258" spans="1:16" x14ac:dyDescent="0.3">
      <c r="A258">
        <v>2023</v>
      </c>
      <c r="B258" t="s">
        <v>118</v>
      </c>
      <c r="C258" t="s">
        <v>225</v>
      </c>
      <c r="D258">
        <v>6529</v>
      </c>
      <c r="E258">
        <v>0</v>
      </c>
      <c r="F258">
        <v>0.1</v>
      </c>
      <c r="G258">
        <v>0.1</v>
      </c>
      <c r="H258">
        <v>2</v>
      </c>
      <c r="I258">
        <v>4.7</v>
      </c>
      <c r="J258">
        <v>10.3</v>
      </c>
      <c r="K258">
        <v>39.5</v>
      </c>
      <c r="L258">
        <v>20.100000000000001</v>
      </c>
      <c r="M258">
        <v>12.4</v>
      </c>
      <c r="N258">
        <v>10.8</v>
      </c>
      <c r="O258">
        <v>0.2</v>
      </c>
      <c r="P25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7.5069999999999997</v>
      </c>
    </row>
    <row r="259" spans="1:16" x14ac:dyDescent="0.3">
      <c r="A259">
        <v>2023</v>
      </c>
      <c r="B259" t="s">
        <v>118</v>
      </c>
      <c r="C259" t="s">
        <v>226</v>
      </c>
      <c r="D259">
        <v>5403</v>
      </c>
      <c r="E259">
        <v>0</v>
      </c>
      <c r="F259">
        <v>0</v>
      </c>
      <c r="G259">
        <v>0.7</v>
      </c>
      <c r="H259">
        <v>1.9</v>
      </c>
      <c r="I259">
        <v>4.5999999999999996</v>
      </c>
      <c r="J259">
        <v>8</v>
      </c>
      <c r="K259">
        <v>39.5</v>
      </c>
      <c r="L259">
        <v>18.899999999999999</v>
      </c>
      <c r="M259">
        <v>12</v>
      </c>
      <c r="N259">
        <v>14.4</v>
      </c>
      <c r="O259">
        <v>0.2</v>
      </c>
      <c r="P25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7.6039999999999992</v>
      </c>
    </row>
    <row r="260" spans="1:16" x14ac:dyDescent="0.3">
      <c r="A260">
        <v>2023</v>
      </c>
      <c r="B260" t="s">
        <v>126</v>
      </c>
      <c r="C260" t="s">
        <v>224</v>
      </c>
      <c r="D260">
        <v>11924</v>
      </c>
      <c r="E260">
        <v>0.1</v>
      </c>
      <c r="F260">
        <v>0</v>
      </c>
      <c r="G260">
        <v>0.4</v>
      </c>
      <c r="H260">
        <v>2.2999999999999998</v>
      </c>
      <c r="I260">
        <v>5.3</v>
      </c>
      <c r="J260">
        <v>9.6999999999999993</v>
      </c>
      <c r="K260">
        <v>27.4</v>
      </c>
      <c r="L260">
        <v>26.8</v>
      </c>
      <c r="M260">
        <v>15.7</v>
      </c>
      <c r="N260">
        <v>12.3</v>
      </c>
      <c r="O260">
        <v>0.2</v>
      </c>
      <c r="P26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7.657</v>
      </c>
    </row>
    <row r="261" spans="1:16" x14ac:dyDescent="0.3">
      <c r="A261">
        <v>2023</v>
      </c>
      <c r="B261" t="s">
        <v>126</v>
      </c>
      <c r="C261" t="s">
        <v>225</v>
      </c>
      <c r="D261">
        <v>6528</v>
      </c>
      <c r="E261">
        <v>0</v>
      </c>
      <c r="F261">
        <v>0</v>
      </c>
      <c r="G261">
        <v>0.3</v>
      </c>
      <c r="H261">
        <v>2.5</v>
      </c>
      <c r="I261">
        <v>5.3</v>
      </c>
      <c r="J261">
        <v>11</v>
      </c>
      <c r="K261">
        <v>27.5</v>
      </c>
      <c r="L261">
        <v>27.7</v>
      </c>
      <c r="M261">
        <v>14.8</v>
      </c>
      <c r="N261">
        <v>11</v>
      </c>
      <c r="O261">
        <v>0.2</v>
      </c>
      <c r="P26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7.6069999999999993</v>
      </c>
    </row>
    <row r="262" spans="1:16" x14ac:dyDescent="0.3">
      <c r="A262">
        <v>2023</v>
      </c>
      <c r="B262" t="s">
        <v>126</v>
      </c>
      <c r="C262" t="s">
        <v>226</v>
      </c>
      <c r="D262">
        <v>5396</v>
      </c>
      <c r="E262">
        <v>0.1</v>
      </c>
      <c r="F262">
        <v>0.1</v>
      </c>
      <c r="G262">
        <v>0.6</v>
      </c>
      <c r="H262">
        <v>2.2000000000000002</v>
      </c>
      <c r="I262">
        <v>5.3</v>
      </c>
      <c r="J262">
        <v>8.1</v>
      </c>
      <c r="K262">
        <v>27.4</v>
      </c>
      <c r="L262">
        <v>25.7</v>
      </c>
      <c r="M262">
        <v>16.7</v>
      </c>
      <c r="N262">
        <v>13.8</v>
      </c>
      <c r="O262">
        <v>0.3</v>
      </c>
      <c r="P26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7.7169999999999996</v>
      </c>
    </row>
    <row r="263" spans="1:16" x14ac:dyDescent="0.3">
      <c r="A263">
        <v>2023</v>
      </c>
      <c r="B263" t="s">
        <v>127</v>
      </c>
      <c r="C263" t="s">
        <v>224</v>
      </c>
      <c r="D263">
        <v>11937</v>
      </c>
      <c r="E263">
        <v>0.2</v>
      </c>
      <c r="F263">
        <v>0.3</v>
      </c>
      <c r="G263">
        <v>2.4</v>
      </c>
      <c r="H263">
        <v>4.4000000000000004</v>
      </c>
      <c r="I263">
        <v>7.8</v>
      </c>
      <c r="J263">
        <v>10.7</v>
      </c>
      <c r="K263">
        <v>24.3</v>
      </c>
      <c r="L263">
        <v>25</v>
      </c>
      <c r="M263">
        <v>14.5</v>
      </c>
      <c r="N263">
        <v>10.4</v>
      </c>
      <c r="O263">
        <v>0.1</v>
      </c>
      <c r="P26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7.3339999999999996</v>
      </c>
    </row>
    <row r="264" spans="1:16" x14ac:dyDescent="0.3">
      <c r="A264">
        <v>2023</v>
      </c>
      <c r="B264" t="s">
        <v>127</v>
      </c>
      <c r="C264" t="s">
        <v>225</v>
      </c>
      <c r="D264">
        <v>6536</v>
      </c>
      <c r="E264">
        <v>0.3</v>
      </c>
      <c r="F264">
        <v>0.3</v>
      </c>
      <c r="G264">
        <v>2.4</v>
      </c>
      <c r="H264">
        <v>4.8</v>
      </c>
      <c r="I264">
        <v>7.9</v>
      </c>
      <c r="J264">
        <v>11.3</v>
      </c>
      <c r="K264">
        <v>24.3</v>
      </c>
      <c r="L264">
        <v>25.1</v>
      </c>
      <c r="M264">
        <v>14.2</v>
      </c>
      <c r="N264">
        <v>9.4</v>
      </c>
      <c r="O264">
        <v>0.1</v>
      </c>
      <c r="P26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7.2729999999999997</v>
      </c>
    </row>
    <row r="265" spans="1:16" x14ac:dyDescent="0.3">
      <c r="A265">
        <v>2023</v>
      </c>
      <c r="B265" t="s">
        <v>127</v>
      </c>
      <c r="C265" t="s">
        <v>226</v>
      </c>
      <c r="D265">
        <v>5401</v>
      </c>
      <c r="E265">
        <v>0.2</v>
      </c>
      <c r="F265">
        <v>0.2</v>
      </c>
      <c r="G265">
        <v>2.4</v>
      </c>
      <c r="H265">
        <v>3.9</v>
      </c>
      <c r="I265">
        <v>7.6</v>
      </c>
      <c r="J265">
        <v>10</v>
      </c>
      <c r="K265">
        <v>24.3</v>
      </c>
      <c r="L265">
        <v>25</v>
      </c>
      <c r="M265">
        <v>14.8</v>
      </c>
      <c r="N265">
        <v>11.6</v>
      </c>
      <c r="O265">
        <v>0.2</v>
      </c>
      <c r="P26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7.407</v>
      </c>
    </row>
    <row r="266" spans="1:16" x14ac:dyDescent="0.3">
      <c r="A266">
        <v>2023</v>
      </c>
      <c r="B266" t="s">
        <v>128</v>
      </c>
      <c r="C266" t="s">
        <v>224</v>
      </c>
      <c r="D266">
        <v>11653</v>
      </c>
      <c r="E266">
        <v>0.1</v>
      </c>
      <c r="F266">
        <v>0.1</v>
      </c>
      <c r="G266">
        <v>0.2</v>
      </c>
      <c r="H266">
        <v>6.1</v>
      </c>
      <c r="I266">
        <v>8.6</v>
      </c>
      <c r="J266">
        <v>12.8</v>
      </c>
      <c r="K266">
        <v>34.5</v>
      </c>
      <c r="L266">
        <v>19.5</v>
      </c>
      <c r="M266">
        <v>11.7</v>
      </c>
      <c r="N266">
        <v>6.2</v>
      </c>
      <c r="O266">
        <v>2.5</v>
      </c>
      <c r="P26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7.0990000000000002</v>
      </c>
    </row>
    <row r="267" spans="1:16" x14ac:dyDescent="0.3">
      <c r="A267">
        <v>2023</v>
      </c>
      <c r="B267" t="s">
        <v>128</v>
      </c>
      <c r="C267" t="s">
        <v>225</v>
      </c>
      <c r="D267">
        <v>6380</v>
      </c>
      <c r="E267">
        <v>0.1</v>
      </c>
      <c r="F267">
        <v>0.1</v>
      </c>
      <c r="G267">
        <v>0.1</v>
      </c>
      <c r="H267">
        <v>6.5</v>
      </c>
      <c r="I267">
        <v>8.6999999999999993</v>
      </c>
      <c r="J267">
        <v>13.3</v>
      </c>
      <c r="K267">
        <v>35.200000000000003</v>
      </c>
      <c r="L267">
        <v>19.7</v>
      </c>
      <c r="M267">
        <v>10.9</v>
      </c>
      <c r="N267">
        <v>5.4</v>
      </c>
      <c r="O267">
        <v>2.4</v>
      </c>
      <c r="P26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7.0600000000000005</v>
      </c>
    </row>
    <row r="268" spans="1:16" x14ac:dyDescent="0.3">
      <c r="A268">
        <v>2023</v>
      </c>
      <c r="B268" t="s">
        <v>128</v>
      </c>
      <c r="C268" t="s">
        <v>226</v>
      </c>
      <c r="D268">
        <v>5273</v>
      </c>
      <c r="E268">
        <v>0.2</v>
      </c>
      <c r="F268">
        <v>0.2</v>
      </c>
      <c r="G268">
        <v>0.3</v>
      </c>
      <c r="H268">
        <v>5.7</v>
      </c>
      <c r="I268">
        <v>8.4</v>
      </c>
      <c r="J268">
        <v>12.2</v>
      </c>
      <c r="K268">
        <v>33.700000000000003</v>
      </c>
      <c r="L268">
        <v>19.3</v>
      </c>
      <c r="M268">
        <v>12.7</v>
      </c>
      <c r="N268">
        <v>7.2</v>
      </c>
      <c r="O268">
        <v>2.6</v>
      </c>
      <c r="P26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7.1609999999999996</v>
      </c>
    </row>
    <row r="269" spans="1:16" x14ac:dyDescent="0.3">
      <c r="A269">
        <v>2023</v>
      </c>
      <c r="B269" t="s">
        <v>171</v>
      </c>
      <c r="C269" t="s">
        <v>224</v>
      </c>
      <c r="D269">
        <v>9760</v>
      </c>
      <c r="E269">
        <v>0.2</v>
      </c>
      <c r="F269">
        <v>0.2</v>
      </c>
      <c r="G269">
        <v>1.2</v>
      </c>
      <c r="H269">
        <v>2.1</v>
      </c>
      <c r="I269">
        <v>4.9000000000000004</v>
      </c>
      <c r="J269">
        <v>7.3</v>
      </c>
      <c r="K269">
        <v>23</v>
      </c>
      <c r="L269">
        <v>26.6</v>
      </c>
      <c r="M269">
        <v>17.5</v>
      </c>
      <c r="N269">
        <v>16.899999999999999</v>
      </c>
      <c r="O269">
        <v>18.3</v>
      </c>
      <c r="P26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7.8120000000000012</v>
      </c>
    </row>
    <row r="270" spans="1:16" x14ac:dyDescent="0.3">
      <c r="A270">
        <v>2023</v>
      </c>
      <c r="B270" t="s">
        <v>171</v>
      </c>
      <c r="C270" t="s">
        <v>225</v>
      </c>
      <c r="D270">
        <v>5379</v>
      </c>
      <c r="E270">
        <v>0.3</v>
      </c>
      <c r="F270">
        <v>0.2</v>
      </c>
      <c r="G270">
        <v>1.2</v>
      </c>
      <c r="H270">
        <v>2</v>
      </c>
      <c r="I270">
        <v>5.0999999999999996</v>
      </c>
      <c r="J270">
        <v>7.5</v>
      </c>
      <c r="K270">
        <v>23.6</v>
      </c>
      <c r="L270">
        <v>27.3</v>
      </c>
      <c r="M270">
        <v>16.7</v>
      </c>
      <c r="N270">
        <v>16.100000000000001</v>
      </c>
      <c r="O270">
        <v>17.8</v>
      </c>
      <c r="P27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7.777000000000001</v>
      </c>
    </row>
    <row r="271" spans="1:16" x14ac:dyDescent="0.3">
      <c r="A271">
        <v>2023</v>
      </c>
      <c r="B271" t="s">
        <v>171</v>
      </c>
      <c r="C271" t="s">
        <v>226</v>
      </c>
      <c r="D271">
        <v>4381</v>
      </c>
      <c r="E271">
        <v>0.1</v>
      </c>
      <c r="F271">
        <v>0.2</v>
      </c>
      <c r="G271">
        <v>1.2</v>
      </c>
      <c r="H271">
        <v>2.2000000000000002</v>
      </c>
      <c r="I271">
        <v>4.8</v>
      </c>
      <c r="J271">
        <v>7</v>
      </c>
      <c r="K271">
        <v>22.4</v>
      </c>
      <c r="L271">
        <v>25.8</v>
      </c>
      <c r="M271">
        <v>18.5</v>
      </c>
      <c r="N271">
        <v>17.8</v>
      </c>
      <c r="O271">
        <v>19.100000000000001</v>
      </c>
      <c r="P27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7.8659999999999997</v>
      </c>
    </row>
    <row r="272" spans="1:16" x14ac:dyDescent="0.3">
      <c r="A272">
        <v>2023</v>
      </c>
      <c r="B272" t="s">
        <v>172</v>
      </c>
      <c r="C272" t="s">
        <v>224</v>
      </c>
      <c r="D272">
        <v>11934</v>
      </c>
      <c r="E272">
        <v>0.1</v>
      </c>
      <c r="F272">
        <v>0.1</v>
      </c>
      <c r="G272">
        <v>0.3</v>
      </c>
      <c r="H272">
        <v>0.7</v>
      </c>
      <c r="I272">
        <v>1.6</v>
      </c>
      <c r="J272">
        <v>3.2</v>
      </c>
      <c r="K272">
        <v>12.3</v>
      </c>
      <c r="L272">
        <v>24.8</v>
      </c>
      <c r="M272">
        <v>21.9</v>
      </c>
      <c r="N272">
        <v>35</v>
      </c>
      <c r="O272">
        <v>0.2</v>
      </c>
      <c r="P27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8.6280000000000001</v>
      </c>
    </row>
    <row r="273" spans="1:16" x14ac:dyDescent="0.3">
      <c r="A273">
        <v>2023</v>
      </c>
      <c r="B273" t="s">
        <v>172</v>
      </c>
      <c r="C273" t="s">
        <v>225</v>
      </c>
      <c r="D273">
        <v>6533</v>
      </c>
      <c r="E273">
        <v>0.2</v>
      </c>
      <c r="F273">
        <v>0</v>
      </c>
      <c r="G273">
        <v>0.3</v>
      </c>
      <c r="H273">
        <v>0.7</v>
      </c>
      <c r="I273">
        <v>1.6</v>
      </c>
      <c r="J273">
        <v>3.3</v>
      </c>
      <c r="K273">
        <v>12.2</v>
      </c>
      <c r="L273">
        <v>26</v>
      </c>
      <c r="M273">
        <v>22.6</v>
      </c>
      <c r="N273">
        <v>33</v>
      </c>
      <c r="O273">
        <v>0.1</v>
      </c>
      <c r="P27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8.5850000000000009</v>
      </c>
    </row>
    <row r="274" spans="1:16" x14ac:dyDescent="0.3">
      <c r="A274">
        <v>2023</v>
      </c>
      <c r="B274" t="s">
        <v>172</v>
      </c>
      <c r="C274" t="s">
        <v>226</v>
      </c>
      <c r="D274">
        <v>5401</v>
      </c>
      <c r="E274">
        <v>0.1</v>
      </c>
      <c r="F274">
        <v>0.1</v>
      </c>
      <c r="G274">
        <v>0.3</v>
      </c>
      <c r="H274">
        <v>0.7</v>
      </c>
      <c r="I274">
        <v>1.6</v>
      </c>
      <c r="J274">
        <v>3.1</v>
      </c>
      <c r="K274">
        <v>12.3</v>
      </c>
      <c r="L274">
        <v>23.3</v>
      </c>
      <c r="M274">
        <v>20.9</v>
      </c>
      <c r="N274">
        <v>37.5</v>
      </c>
      <c r="O274">
        <v>0.2</v>
      </c>
      <c r="P27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8.6620000000000008</v>
      </c>
    </row>
    <row r="275" spans="1:16" x14ac:dyDescent="0.3">
      <c r="A275">
        <v>2023</v>
      </c>
      <c r="B275" t="s">
        <v>173</v>
      </c>
      <c r="C275" t="s">
        <v>224</v>
      </c>
      <c r="D275">
        <v>11735</v>
      </c>
      <c r="E275">
        <v>0.1</v>
      </c>
      <c r="F275">
        <v>0.1</v>
      </c>
      <c r="G275">
        <v>0.4</v>
      </c>
      <c r="H275">
        <v>1.1000000000000001</v>
      </c>
      <c r="I275">
        <v>2.8</v>
      </c>
      <c r="J275">
        <v>4.4000000000000004</v>
      </c>
      <c r="K275">
        <v>13.1</v>
      </c>
      <c r="L275">
        <v>25.4</v>
      </c>
      <c r="M275">
        <v>21.2</v>
      </c>
      <c r="N275">
        <v>31.2</v>
      </c>
      <c r="O275">
        <v>1.8</v>
      </c>
      <c r="P27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8.4400000000000013</v>
      </c>
    </row>
    <row r="276" spans="1:16" x14ac:dyDescent="0.3">
      <c r="A276">
        <v>2023</v>
      </c>
      <c r="B276" t="s">
        <v>173</v>
      </c>
      <c r="C276" t="s">
        <v>225</v>
      </c>
      <c r="D276">
        <v>6427</v>
      </c>
      <c r="E276">
        <v>0.1</v>
      </c>
      <c r="F276">
        <v>0.1</v>
      </c>
      <c r="G276">
        <v>0.4</v>
      </c>
      <c r="H276">
        <v>1.1000000000000001</v>
      </c>
      <c r="I276">
        <v>3</v>
      </c>
      <c r="J276">
        <v>4.7</v>
      </c>
      <c r="K276">
        <v>13.5</v>
      </c>
      <c r="L276">
        <v>26.5</v>
      </c>
      <c r="M276">
        <v>21.6</v>
      </c>
      <c r="N276">
        <v>29</v>
      </c>
      <c r="O276">
        <v>1.7</v>
      </c>
      <c r="P27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8.4</v>
      </c>
    </row>
    <row r="277" spans="1:16" x14ac:dyDescent="0.3">
      <c r="A277">
        <v>2023</v>
      </c>
      <c r="B277" t="s">
        <v>173</v>
      </c>
      <c r="C277" t="s">
        <v>226</v>
      </c>
      <c r="D277">
        <v>5308</v>
      </c>
      <c r="E277">
        <v>0.1</v>
      </c>
      <c r="F277">
        <v>0.1</v>
      </c>
      <c r="G277">
        <v>0.5</v>
      </c>
      <c r="H277">
        <v>1.2</v>
      </c>
      <c r="I277">
        <v>2.7</v>
      </c>
      <c r="J277">
        <v>4.0999999999999996</v>
      </c>
      <c r="K277">
        <v>12.6</v>
      </c>
      <c r="L277">
        <v>24.1</v>
      </c>
      <c r="M277">
        <v>20.8</v>
      </c>
      <c r="N277">
        <v>33.9</v>
      </c>
      <c r="O277">
        <v>1.9</v>
      </c>
      <c r="P27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8.5190000000000001</v>
      </c>
    </row>
    <row r="278" spans="1:16" x14ac:dyDescent="0.3">
      <c r="A278">
        <v>2023</v>
      </c>
      <c r="B278" t="s">
        <v>174</v>
      </c>
      <c r="C278" t="s">
        <v>224</v>
      </c>
      <c r="D278">
        <v>9143</v>
      </c>
      <c r="E278">
        <v>0.1</v>
      </c>
      <c r="F278">
        <v>0.3</v>
      </c>
      <c r="G278">
        <v>0.5</v>
      </c>
      <c r="H278">
        <v>1.7</v>
      </c>
      <c r="I278">
        <v>3.1</v>
      </c>
      <c r="J278">
        <v>5.9</v>
      </c>
      <c r="K278">
        <v>16</v>
      </c>
      <c r="L278">
        <v>24.7</v>
      </c>
      <c r="M278">
        <v>19.5</v>
      </c>
      <c r="N278">
        <v>28.2</v>
      </c>
      <c r="O278">
        <v>23.5</v>
      </c>
      <c r="P27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8.27</v>
      </c>
    </row>
    <row r="279" spans="1:16" x14ac:dyDescent="0.3">
      <c r="A279">
        <v>2023</v>
      </c>
      <c r="B279" t="s">
        <v>174</v>
      </c>
      <c r="C279" t="s">
        <v>225</v>
      </c>
      <c r="D279">
        <v>5048</v>
      </c>
      <c r="E279">
        <v>0.1</v>
      </c>
      <c r="F279">
        <v>0.2</v>
      </c>
      <c r="G279">
        <v>0.5</v>
      </c>
      <c r="H279">
        <v>1.6</v>
      </c>
      <c r="I279">
        <v>3.3</v>
      </c>
      <c r="J279">
        <v>6.2</v>
      </c>
      <c r="K279">
        <v>16.600000000000001</v>
      </c>
      <c r="L279">
        <v>25.2</v>
      </c>
      <c r="M279">
        <v>19.8</v>
      </c>
      <c r="N279">
        <v>26.6</v>
      </c>
      <c r="O279">
        <v>22.8</v>
      </c>
      <c r="P27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8.2409999999999997</v>
      </c>
    </row>
    <row r="280" spans="1:16" x14ac:dyDescent="0.3">
      <c r="A280">
        <v>2023</v>
      </c>
      <c r="B280" t="s">
        <v>174</v>
      </c>
      <c r="C280" t="s">
        <v>226</v>
      </c>
      <c r="D280">
        <v>4095</v>
      </c>
      <c r="E280">
        <v>0.2</v>
      </c>
      <c r="F280">
        <v>0.3</v>
      </c>
      <c r="G280">
        <v>0.7</v>
      </c>
      <c r="H280">
        <v>1.8</v>
      </c>
      <c r="I280">
        <v>2.9</v>
      </c>
      <c r="J280">
        <v>5.5</v>
      </c>
      <c r="K280">
        <v>15.4</v>
      </c>
      <c r="L280">
        <v>24</v>
      </c>
      <c r="M280">
        <v>19.100000000000001</v>
      </c>
      <c r="N280">
        <v>30.2</v>
      </c>
      <c r="O280">
        <v>24.3</v>
      </c>
      <c r="P28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8.3130000000000006</v>
      </c>
    </row>
    <row r="281" spans="1:16" x14ac:dyDescent="0.3">
      <c r="A281">
        <v>2023</v>
      </c>
      <c r="B281" t="s">
        <v>175</v>
      </c>
      <c r="C281" t="s">
        <v>224</v>
      </c>
      <c r="D281">
        <v>11774</v>
      </c>
      <c r="E281">
        <v>0.1</v>
      </c>
      <c r="F281">
        <v>0.1</v>
      </c>
      <c r="G281">
        <v>0.3</v>
      </c>
      <c r="H281">
        <v>4.4000000000000004</v>
      </c>
      <c r="I281">
        <v>7.9</v>
      </c>
      <c r="J281">
        <v>12.5</v>
      </c>
      <c r="K281">
        <v>34.700000000000003</v>
      </c>
      <c r="L281">
        <v>19.3</v>
      </c>
      <c r="M281">
        <v>13</v>
      </c>
      <c r="N281">
        <v>7.7</v>
      </c>
      <c r="O281">
        <v>1.5</v>
      </c>
      <c r="P28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7.2460000000000004</v>
      </c>
    </row>
    <row r="282" spans="1:16" x14ac:dyDescent="0.3">
      <c r="A282">
        <v>2023</v>
      </c>
      <c r="B282" t="s">
        <v>175</v>
      </c>
      <c r="C282" t="s">
        <v>225</v>
      </c>
      <c r="D282">
        <v>6446</v>
      </c>
      <c r="E282">
        <v>0</v>
      </c>
      <c r="F282">
        <v>0.1</v>
      </c>
      <c r="G282">
        <v>0.2</v>
      </c>
      <c r="H282">
        <v>4.5</v>
      </c>
      <c r="I282">
        <v>8.3000000000000007</v>
      </c>
      <c r="J282">
        <v>13.1</v>
      </c>
      <c r="K282">
        <v>35.299999999999997</v>
      </c>
      <c r="L282">
        <v>19.2</v>
      </c>
      <c r="M282">
        <v>12.1</v>
      </c>
      <c r="N282">
        <v>7.2</v>
      </c>
      <c r="O282">
        <v>1.4</v>
      </c>
      <c r="P28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7.2049999999999992</v>
      </c>
    </row>
    <row r="283" spans="1:16" x14ac:dyDescent="0.3">
      <c r="A283">
        <v>2023</v>
      </c>
      <c r="B283" t="s">
        <v>175</v>
      </c>
      <c r="C283" t="s">
        <v>226</v>
      </c>
      <c r="D283">
        <v>5328</v>
      </c>
      <c r="E283">
        <v>0.1</v>
      </c>
      <c r="F283">
        <v>0.2</v>
      </c>
      <c r="G283">
        <v>0.3</v>
      </c>
      <c r="H283">
        <v>4.2</v>
      </c>
      <c r="I283">
        <v>7.4</v>
      </c>
      <c r="J283">
        <v>11.8</v>
      </c>
      <c r="K283">
        <v>34</v>
      </c>
      <c r="L283">
        <v>19.399999999999999</v>
      </c>
      <c r="M283">
        <v>14.2</v>
      </c>
      <c r="N283">
        <v>8.4</v>
      </c>
      <c r="O283">
        <v>1.6</v>
      </c>
      <c r="P28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7.3100000000000005</v>
      </c>
    </row>
    <row r="284" spans="1:16" x14ac:dyDescent="0.3">
      <c r="A284">
        <v>2023</v>
      </c>
      <c r="B284" t="s">
        <v>182</v>
      </c>
      <c r="C284" t="s">
        <v>224</v>
      </c>
      <c r="D284">
        <v>11913</v>
      </c>
      <c r="E284">
        <v>0.2</v>
      </c>
      <c r="F284">
        <v>0.3</v>
      </c>
      <c r="G284">
        <v>1.1000000000000001</v>
      </c>
      <c r="H284">
        <v>2.6</v>
      </c>
      <c r="I284">
        <v>6.1</v>
      </c>
      <c r="J284">
        <v>9.5</v>
      </c>
      <c r="K284">
        <v>23.4</v>
      </c>
      <c r="L284">
        <v>26.9</v>
      </c>
      <c r="M284">
        <v>16.899999999999999</v>
      </c>
      <c r="N284">
        <v>13</v>
      </c>
      <c r="O284">
        <v>0.3</v>
      </c>
      <c r="P28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7.6309999999999993</v>
      </c>
    </row>
    <row r="285" spans="1:16" x14ac:dyDescent="0.3">
      <c r="A285">
        <v>2023</v>
      </c>
      <c r="B285" t="s">
        <v>182</v>
      </c>
      <c r="C285" t="s">
        <v>225</v>
      </c>
      <c r="D285">
        <v>6520</v>
      </c>
      <c r="E285">
        <v>0.2</v>
      </c>
      <c r="F285">
        <v>0.2</v>
      </c>
      <c r="G285">
        <v>1.1000000000000001</v>
      </c>
      <c r="H285">
        <v>2.7</v>
      </c>
      <c r="I285">
        <v>6.7</v>
      </c>
      <c r="J285">
        <v>11</v>
      </c>
      <c r="K285">
        <v>24.2</v>
      </c>
      <c r="L285">
        <v>27.5</v>
      </c>
      <c r="M285">
        <v>15.4</v>
      </c>
      <c r="N285">
        <v>10.9</v>
      </c>
      <c r="O285">
        <v>0.3</v>
      </c>
      <c r="P28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7.5120000000000005</v>
      </c>
    </row>
    <row r="286" spans="1:16" x14ac:dyDescent="0.3">
      <c r="A286">
        <v>2023</v>
      </c>
      <c r="B286" t="s">
        <v>182</v>
      </c>
      <c r="C286" t="s">
        <v>226</v>
      </c>
      <c r="D286">
        <v>5393</v>
      </c>
      <c r="E286">
        <v>0.2</v>
      </c>
      <c r="F286">
        <v>0.3</v>
      </c>
      <c r="G286">
        <v>1</v>
      </c>
      <c r="H286">
        <v>2.6</v>
      </c>
      <c r="I286">
        <v>5.3</v>
      </c>
      <c r="J286">
        <v>7.7</v>
      </c>
      <c r="K286">
        <v>22.3</v>
      </c>
      <c r="L286">
        <v>26.2</v>
      </c>
      <c r="M286">
        <v>18.8</v>
      </c>
      <c r="N286">
        <v>15.6</v>
      </c>
      <c r="O286">
        <v>0.4</v>
      </c>
      <c r="P28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7.7780000000000005</v>
      </c>
    </row>
    <row r="287" spans="1:16" x14ac:dyDescent="0.3">
      <c r="A287">
        <v>2023</v>
      </c>
      <c r="B287" t="s">
        <v>183</v>
      </c>
      <c r="C287" t="s">
        <v>224</v>
      </c>
      <c r="D287">
        <v>11916</v>
      </c>
      <c r="E287">
        <v>0.6</v>
      </c>
      <c r="F287">
        <v>0.6</v>
      </c>
      <c r="G287">
        <v>1.9</v>
      </c>
      <c r="H287">
        <v>3.7</v>
      </c>
      <c r="I287">
        <v>6.1</v>
      </c>
      <c r="J287">
        <v>10.9</v>
      </c>
      <c r="K287">
        <v>23.1</v>
      </c>
      <c r="L287">
        <v>29.3</v>
      </c>
      <c r="M287">
        <v>14.7</v>
      </c>
      <c r="N287">
        <v>9.1999999999999993</v>
      </c>
      <c r="O287">
        <v>0.3</v>
      </c>
      <c r="P28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7.3860000000000001</v>
      </c>
    </row>
    <row r="288" spans="1:16" x14ac:dyDescent="0.3">
      <c r="A288">
        <v>2023</v>
      </c>
      <c r="B288" t="s">
        <v>183</v>
      </c>
      <c r="C288" t="s">
        <v>225</v>
      </c>
      <c r="D288">
        <v>6517</v>
      </c>
      <c r="E288">
        <v>0.6</v>
      </c>
      <c r="F288">
        <v>0.7</v>
      </c>
      <c r="G288">
        <v>2.1</v>
      </c>
      <c r="H288">
        <v>4.5</v>
      </c>
      <c r="I288">
        <v>7.2</v>
      </c>
      <c r="J288">
        <v>13</v>
      </c>
      <c r="K288">
        <v>24.8</v>
      </c>
      <c r="L288">
        <v>28.6</v>
      </c>
      <c r="M288">
        <v>12.1</v>
      </c>
      <c r="N288">
        <v>6.3</v>
      </c>
      <c r="O288">
        <v>0.4</v>
      </c>
      <c r="P28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7.1459999999999999</v>
      </c>
    </row>
    <row r="289" spans="1:16" x14ac:dyDescent="0.3">
      <c r="A289">
        <v>2023</v>
      </c>
      <c r="B289" t="s">
        <v>183</v>
      </c>
      <c r="C289" t="s">
        <v>226</v>
      </c>
      <c r="D289">
        <v>5399</v>
      </c>
      <c r="E289">
        <v>0.5</v>
      </c>
      <c r="F289">
        <v>0.4</v>
      </c>
      <c r="G289">
        <v>1.6</v>
      </c>
      <c r="H289">
        <v>2.7</v>
      </c>
      <c r="I289">
        <v>4.8</v>
      </c>
      <c r="J289">
        <v>8.3000000000000007</v>
      </c>
      <c r="K289">
        <v>21.1</v>
      </c>
      <c r="L289">
        <v>30</v>
      </c>
      <c r="M289">
        <v>17.8</v>
      </c>
      <c r="N289">
        <v>12.8</v>
      </c>
      <c r="O289">
        <v>0.3</v>
      </c>
      <c r="P28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7.6660000000000013</v>
      </c>
    </row>
    <row r="290" spans="1:16" x14ac:dyDescent="0.3">
      <c r="A290">
        <v>2023</v>
      </c>
      <c r="B290" t="s">
        <v>184</v>
      </c>
      <c r="C290" t="s">
        <v>224</v>
      </c>
      <c r="D290">
        <v>11909</v>
      </c>
      <c r="E290">
        <v>1.7</v>
      </c>
      <c r="F290">
        <v>1.5</v>
      </c>
      <c r="G290">
        <v>3.7</v>
      </c>
      <c r="H290">
        <v>3.8</v>
      </c>
      <c r="I290">
        <v>6.8</v>
      </c>
      <c r="J290">
        <v>11.1</v>
      </c>
      <c r="K290">
        <v>22.8</v>
      </c>
      <c r="L290">
        <v>25.2</v>
      </c>
      <c r="M290">
        <v>13.9</v>
      </c>
      <c r="N290">
        <v>9.5</v>
      </c>
      <c r="O290">
        <v>0.4</v>
      </c>
      <c r="P29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7.1290000000000004</v>
      </c>
    </row>
    <row r="291" spans="1:16" x14ac:dyDescent="0.3">
      <c r="A291">
        <v>2023</v>
      </c>
      <c r="B291" t="s">
        <v>184</v>
      </c>
      <c r="C291" t="s">
        <v>225</v>
      </c>
      <c r="D291">
        <v>6515</v>
      </c>
      <c r="E291">
        <v>1.9</v>
      </c>
      <c r="F291">
        <v>2</v>
      </c>
      <c r="G291">
        <v>4.5</v>
      </c>
      <c r="H291">
        <v>5</v>
      </c>
      <c r="I291">
        <v>8.1999999999999993</v>
      </c>
      <c r="J291">
        <v>13</v>
      </c>
      <c r="K291">
        <v>24.2</v>
      </c>
      <c r="L291">
        <v>23.3</v>
      </c>
      <c r="M291">
        <v>11.5</v>
      </c>
      <c r="N291">
        <v>6.4</v>
      </c>
      <c r="O291">
        <v>0.4</v>
      </c>
      <c r="P29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6.8170000000000002</v>
      </c>
    </row>
    <row r="292" spans="1:16" x14ac:dyDescent="0.3">
      <c r="A292">
        <v>2023</v>
      </c>
      <c r="B292" t="s">
        <v>184</v>
      </c>
      <c r="C292" t="s">
        <v>226</v>
      </c>
      <c r="D292">
        <v>5394</v>
      </c>
      <c r="E292">
        <v>1.3</v>
      </c>
      <c r="F292">
        <v>0.9</v>
      </c>
      <c r="G292">
        <v>2.9</v>
      </c>
      <c r="H292">
        <v>2.5</v>
      </c>
      <c r="I292">
        <v>5.2</v>
      </c>
      <c r="J292">
        <v>8.8000000000000007</v>
      </c>
      <c r="K292">
        <v>21</v>
      </c>
      <c r="L292">
        <v>27.4</v>
      </c>
      <c r="M292">
        <v>17</v>
      </c>
      <c r="N292">
        <v>13.1</v>
      </c>
      <c r="O292">
        <v>0.4</v>
      </c>
      <c r="P29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7.5079999999999991</v>
      </c>
    </row>
    <row r="293" spans="1:16" x14ac:dyDescent="0.3">
      <c r="A293">
        <v>2023</v>
      </c>
      <c r="B293" t="s">
        <v>185</v>
      </c>
      <c r="C293" t="s">
        <v>224</v>
      </c>
      <c r="D293">
        <v>11907</v>
      </c>
      <c r="E293">
        <v>2.1</v>
      </c>
      <c r="F293">
        <v>1.9</v>
      </c>
      <c r="G293">
        <v>4.9000000000000004</v>
      </c>
      <c r="H293">
        <v>5.6</v>
      </c>
      <c r="I293">
        <v>8.1999999999999993</v>
      </c>
      <c r="J293">
        <v>10.1</v>
      </c>
      <c r="K293">
        <v>20</v>
      </c>
      <c r="L293">
        <v>23.3</v>
      </c>
      <c r="M293">
        <v>12.7</v>
      </c>
      <c r="N293">
        <v>11</v>
      </c>
      <c r="O293">
        <v>0.4</v>
      </c>
      <c r="P29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6.9529999999999994</v>
      </c>
    </row>
    <row r="294" spans="1:16" x14ac:dyDescent="0.3">
      <c r="A294">
        <v>2023</v>
      </c>
      <c r="B294" t="s">
        <v>185</v>
      </c>
      <c r="C294" t="s">
        <v>225</v>
      </c>
      <c r="D294">
        <v>6508</v>
      </c>
      <c r="E294">
        <v>2.8</v>
      </c>
      <c r="F294">
        <v>2.2000000000000002</v>
      </c>
      <c r="G294">
        <v>5.6</v>
      </c>
      <c r="H294">
        <v>6.5</v>
      </c>
      <c r="I294">
        <v>9.3000000000000007</v>
      </c>
      <c r="J294">
        <v>11.6</v>
      </c>
      <c r="K294">
        <v>21</v>
      </c>
      <c r="L294">
        <v>22.2</v>
      </c>
      <c r="M294">
        <v>10.4</v>
      </c>
      <c r="N294">
        <v>8.4</v>
      </c>
      <c r="O294">
        <v>0.5</v>
      </c>
      <c r="P29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6.6829999999999998</v>
      </c>
    </row>
    <row r="295" spans="1:16" x14ac:dyDescent="0.3">
      <c r="A295">
        <v>2023</v>
      </c>
      <c r="B295" t="s">
        <v>185</v>
      </c>
      <c r="C295" t="s">
        <v>226</v>
      </c>
      <c r="D295">
        <v>5399</v>
      </c>
      <c r="E295">
        <v>1.4</v>
      </c>
      <c r="F295">
        <v>1.5</v>
      </c>
      <c r="G295">
        <v>4.0999999999999996</v>
      </c>
      <c r="H295">
        <v>4.5999999999999996</v>
      </c>
      <c r="I295">
        <v>6.9</v>
      </c>
      <c r="J295">
        <v>8.4</v>
      </c>
      <c r="K295">
        <v>18.8</v>
      </c>
      <c r="L295">
        <v>24.7</v>
      </c>
      <c r="M295">
        <v>15.5</v>
      </c>
      <c r="N295">
        <v>14.2</v>
      </c>
      <c r="O295">
        <v>0.3</v>
      </c>
      <c r="P29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7.3070000000000004</v>
      </c>
    </row>
    <row r="296" spans="1:16" x14ac:dyDescent="0.3">
      <c r="A296">
        <v>2023</v>
      </c>
      <c r="B296" t="s">
        <v>186</v>
      </c>
      <c r="C296" t="s">
        <v>224</v>
      </c>
      <c r="D296">
        <v>11880</v>
      </c>
      <c r="E296">
        <v>0.6</v>
      </c>
      <c r="F296">
        <v>0.7</v>
      </c>
      <c r="G296">
        <v>1.3</v>
      </c>
      <c r="H296">
        <v>3.6</v>
      </c>
      <c r="I296">
        <v>6.6</v>
      </c>
      <c r="J296">
        <v>11</v>
      </c>
      <c r="K296">
        <v>20.9</v>
      </c>
      <c r="L296">
        <v>28.2</v>
      </c>
      <c r="M296">
        <v>15.1</v>
      </c>
      <c r="N296">
        <v>12</v>
      </c>
      <c r="O296">
        <v>0.6</v>
      </c>
      <c r="P29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7.4709999999999992</v>
      </c>
    </row>
    <row r="297" spans="1:16" x14ac:dyDescent="0.3">
      <c r="A297">
        <v>2023</v>
      </c>
      <c r="B297" t="s">
        <v>186</v>
      </c>
      <c r="C297" t="s">
        <v>225</v>
      </c>
      <c r="D297">
        <v>6500</v>
      </c>
      <c r="E297">
        <v>1</v>
      </c>
      <c r="F297">
        <v>1</v>
      </c>
      <c r="G297">
        <v>1.8</v>
      </c>
      <c r="H297">
        <v>4.8</v>
      </c>
      <c r="I297">
        <v>8.6</v>
      </c>
      <c r="J297">
        <v>14.6</v>
      </c>
      <c r="K297">
        <v>22.9</v>
      </c>
      <c r="L297">
        <v>27.5</v>
      </c>
      <c r="M297">
        <v>10.9</v>
      </c>
      <c r="N297">
        <v>6.9</v>
      </c>
      <c r="O297">
        <v>0.6</v>
      </c>
      <c r="P29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7.0559999999999992</v>
      </c>
    </row>
    <row r="298" spans="1:16" x14ac:dyDescent="0.3">
      <c r="A298">
        <v>2023</v>
      </c>
      <c r="B298" t="s">
        <v>186</v>
      </c>
      <c r="C298" t="s">
        <v>226</v>
      </c>
      <c r="D298">
        <v>5380</v>
      </c>
      <c r="E298">
        <v>0.2</v>
      </c>
      <c r="F298">
        <v>0.3</v>
      </c>
      <c r="G298">
        <v>0.7</v>
      </c>
      <c r="H298">
        <v>2.2000000000000002</v>
      </c>
      <c r="I298">
        <v>4.2</v>
      </c>
      <c r="J298">
        <v>6.7</v>
      </c>
      <c r="K298">
        <v>18.399999999999999</v>
      </c>
      <c r="L298">
        <v>29</v>
      </c>
      <c r="M298">
        <v>20.2</v>
      </c>
      <c r="N298">
        <v>18.2</v>
      </c>
      <c r="O298">
        <v>0.6</v>
      </c>
      <c r="P29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7.9749999999999996</v>
      </c>
    </row>
    <row r="299" spans="1:16" x14ac:dyDescent="0.3">
      <c r="A299">
        <v>2023</v>
      </c>
      <c r="B299" t="s">
        <v>187</v>
      </c>
      <c r="C299" t="s">
        <v>224</v>
      </c>
      <c r="D299">
        <v>9612</v>
      </c>
      <c r="E299">
        <v>8.4</v>
      </c>
      <c r="F299">
        <v>3.6</v>
      </c>
      <c r="G299">
        <v>9.3000000000000007</v>
      </c>
      <c r="H299">
        <v>10.199999999999999</v>
      </c>
      <c r="I299">
        <v>11.5</v>
      </c>
      <c r="J299">
        <v>10.4</v>
      </c>
      <c r="K299">
        <v>17.399999999999999</v>
      </c>
      <c r="L299">
        <v>16</v>
      </c>
      <c r="M299">
        <v>8.1</v>
      </c>
      <c r="N299">
        <v>5.2</v>
      </c>
      <c r="O299">
        <v>19.600000000000001</v>
      </c>
      <c r="P29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5.7889999999999997</v>
      </c>
    </row>
    <row r="300" spans="1:16" x14ac:dyDescent="0.3">
      <c r="A300">
        <v>2023</v>
      </c>
      <c r="B300" t="s">
        <v>187</v>
      </c>
      <c r="C300" t="s">
        <v>225</v>
      </c>
      <c r="D300">
        <v>5283</v>
      </c>
      <c r="E300">
        <v>9.1</v>
      </c>
      <c r="F300">
        <v>4</v>
      </c>
      <c r="G300">
        <v>8.8000000000000007</v>
      </c>
      <c r="H300">
        <v>10.5</v>
      </c>
      <c r="I300">
        <v>11.7</v>
      </c>
      <c r="J300">
        <v>11.5</v>
      </c>
      <c r="K300">
        <v>18</v>
      </c>
      <c r="L300">
        <v>15.3</v>
      </c>
      <c r="M300">
        <v>6.6</v>
      </c>
      <c r="N300">
        <v>4.3</v>
      </c>
      <c r="O300">
        <v>19.2</v>
      </c>
      <c r="P30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5.6379999999999999</v>
      </c>
    </row>
    <row r="301" spans="1:16" x14ac:dyDescent="0.3">
      <c r="A301">
        <v>2023</v>
      </c>
      <c r="B301" t="s">
        <v>187</v>
      </c>
      <c r="C301" t="s">
        <v>226</v>
      </c>
      <c r="D301">
        <v>4329</v>
      </c>
      <c r="E301">
        <v>7.5</v>
      </c>
      <c r="F301">
        <v>3.1</v>
      </c>
      <c r="G301">
        <v>9.8000000000000007</v>
      </c>
      <c r="H301">
        <v>9.6999999999999993</v>
      </c>
      <c r="I301">
        <v>11.1</v>
      </c>
      <c r="J301">
        <v>9.1</v>
      </c>
      <c r="K301">
        <v>16.600000000000001</v>
      </c>
      <c r="L301">
        <v>16.8</v>
      </c>
      <c r="M301">
        <v>9.9</v>
      </c>
      <c r="N301">
        <v>6.4</v>
      </c>
      <c r="O301">
        <v>20</v>
      </c>
      <c r="P30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5.9569999999999999</v>
      </c>
    </row>
    <row r="302" spans="1:16" x14ac:dyDescent="0.3">
      <c r="A302">
        <v>2023</v>
      </c>
      <c r="B302" t="s">
        <v>188</v>
      </c>
      <c r="C302" t="s">
        <v>224</v>
      </c>
      <c r="D302">
        <v>9711</v>
      </c>
      <c r="E302">
        <v>9.1999999999999993</v>
      </c>
      <c r="F302">
        <v>4.0999999999999996</v>
      </c>
      <c r="G302">
        <v>9.5</v>
      </c>
      <c r="H302">
        <v>8</v>
      </c>
      <c r="I302">
        <v>10.8</v>
      </c>
      <c r="J302">
        <v>10</v>
      </c>
      <c r="K302">
        <v>15.5</v>
      </c>
      <c r="L302">
        <v>17.399999999999999</v>
      </c>
      <c r="M302">
        <v>8.1</v>
      </c>
      <c r="N302">
        <v>7.2</v>
      </c>
      <c r="O302">
        <v>18.8</v>
      </c>
      <c r="P30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5.8449999999999998</v>
      </c>
    </row>
    <row r="303" spans="1:16" x14ac:dyDescent="0.3">
      <c r="A303">
        <v>2023</v>
      </c>
      <c r="B303" t="s">
        <v>188</v>
      </c>
      <c r="C303" t="s">
        <v>225</v>
      </c>
      <c r="D303">
        <v>5304</v>
      </c>
      <c r="E303">
        <v>9.3000000000000007</v>
      </c>
      <c r="F303">
        <v>4.5</v>
      </c>
      <c r="G303">
        <v>9.8000000000000007</v>
      </c>
      <c r="H303">
        <v>8.4</v>
      </c>
      <c r="I303">
        <v>11</v>
      </c>
      <c r="J303">
        <v>10.5</v>
      </c>
      <c r="K303">
        <v>16.100000000000001</v>
      </c>
      <c r="L303">
        <v>17</v>
      </c>
      <c r="M303">
        <v>6.9</v>
      </c>
      <c r="N303">
        <v>6.4</v>
      </c>
      <c r="O303">
        <v>18.899999999999999</v>
      </c>
      <c r="P30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5.7410000000000005</v>
      </c>
    </row>
    <row r="304" spans="1:16" x14ac:dyDescent="0.3">
      <c r="A304">
        <v>2023</v>
      </c>
      <c r="B304" t="s">
        <v>188</v>
      </c>
      <c r="C304" t="s">
        <v>226</v>
      </c>
      <c r="D304">
        <v>4407</v>
      </c>
      <c r="E304">
        <v>9.1</v>
      </c>
      <c r="F304">
        <v>3.7</v>
      </c>
      <c r="G304">
        <v>9.1999999999999993</v>
      </c>
      <c r="H304">
        <v>7.5</v>
      </c>
      <c r="I304">
        <v>10.6</v>
      </c>
      <c r="J304">
        <v>9.4</v>
      </c>
      <c r="K304">
        <v>14.8</v>
      </c>
      <c r="L304">
        <v>17.8</v>
      </c>
      <c r="M304">
        <v>9.6</v>
      </c>
      <c r="N304">
        <v>8.3000000000000007</v>
      </c>
      <c r="O304">
        <v>18.600000000000001</v>
      </c>
      <c r="P30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5.9889999999999999</v>
      </c>
    </row>
    <row r="305" spans="1:16" x14ac:dyDescent="0.3">
      <c r="A305">
        <v>2023</v>
      </c>
      <c r="B305" t="s">
        <v>189</v>
      </c>
      <c r="C305" t="s">
        <v>224</v>
      </c>
      <c r="D305">
        <v>11824</v>
      </c>
      <c r="E305">
        <v>0.7</v>
      </c>
      <c r="F305">
        <v>0.5</v>
      </c>
      <c r="G305">
        <v>1.4</v>
      </c>
      <c r="H305">
        <v>4.0999999999999996</v>
      </c>
      <c r="I305">
        <v>7.7</v>
      </c>
      <c r="J305">
        <v>10.6</v>
      </c>
      <c r="K305">
        <v>21.4</v>
      </c>
      <c r="L305">
        <v>25.4</v>
      </c>
      <c r="M305">
        <v>14</v>
      </c>
      <c r="N305">
        <v>14.1</v>
      </c>
      <c r="O305">
        <v>1.1000000000000001</v>
      </c>
      <c r="P30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7.4439999999999991</v>
      </c>
    </row>
    <row r="306" spans="1:16" x14ac:dyDescent="0.3">
      <c r="A306">
        <v>2023</v>
      </c>
      <c r="B306" t="s">
        <v>189</v>
      </c>
      <c r="C306" t="s">
        <v>225</v>
      </c>
      <c r="D306">
        <v>6457</v>
      </c>
      <c r="E306">
        <v>0.9</v>
      </c>
      <c r="F306">
        <v>0.7</v>
      </c>
      <c r="G306">
        <v>1.5</v>
      </c>
      <c r="H306">
        <v>4.9000000000000004</v>
      </c>
      <c r="I306">
        <v>8.3000000000000007</v>
      </c>
      <c r="J306">
        <v>12.4</v>
      </c>
      <c r="K306">
        <v>21.6</v>
      </c>
      <c r="L306">
        <v>25.2</v>
      </c>
      <c r="M306">
        <v>12.2</v>
      </c>
      <c r="N306">
        <v>12.4</v>
      </c>
      <c r="O306">
        <v>1.3</v>
      </c>
      <c r="P30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7.2890000000000006</v>
      </c>
    </row>
    <row r="307" spans="1:16" x14ac:dyDescent="0.3">
      <c r="A307">
        <v>2023</v>
      </c>
      <c r="B307" t="s">
        <v>189</v>
      </c>
      <c r="C307" t="s">
        <v>226</v>
      </c>
      <c r="D307">
        <v>5367</v>
      </c>
      <c r="E307">
        <v>0.5</v>
      </c>
      <c r="F307">
        <v>0.4</v>
      </c>
      <c r="G307">
        <v>1.3</v>
      </c>
      <c r="H307">
        <v>3.2</v>
      </c>
      <c r="I307">
        <v>7</v>
      </c>
      <c r="J307">
        <v>8.5</v>
      </c>
      <c r="K307">
        <v>21.1</v>
      </c>
      <c r="L307">
        <v>25.7</v>
      </c>
      <c r="M307">
        <v>16.100000000000001</v>
      </c>
      <c r="N307">
        <v>16.2</v>
      </c>
      <c r="O307">
        <v>0.8</v>
      </c>
      <c r="P30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7.6420000000000003</v>
      </c>
    </row>
    <row r="308" spans="1:16" x14ac:dyDescent="0.3">
      <c r="A308">
        <v>2023</v>
      </c>
      <c r="B308" t="s">
        <v>190</v>
      </c>
      <c r="C308" t="s">
        <v>224</v>
      </c>
      <c r="D308">
        <v>11669</v>
      </c>
      <c r="E308">
        <v>1.1000000000000001</v>
      </c>
      <c r="F308">
        <v>1.2</v>
      </c>
      <c r="G308">
        <v>3.6</v>
      </c>
      <c r="H308">
        <v>5</v>
      </c>
      <c r="I308">
        <v>8.9</v>
      </c>
      <c r="J308">
        <v>12.6</v>
      </c>
      <c r="K308">
        <v>21.6</v>
      </c>
      <c r="L308">
        <v>25.2</v>
      </c>
      <c r="M308">
        <v>11.3</v>
      </c>
      <c r="N308">
        <v>9.6</v>
      </c>
      <c r="O308">
        <v>2.4</v>
      </c>
      <c r="P30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7.0490000000000004</v>
      </c>
    </row>
    <row r="309" spans="1:16" x14ac:dyDescent="0.3">
      <c r="A309">
        <v>2023</v>
      </c>
      <c r="B309" t="s">
        <v>190</v>
      </c>
      <c r="C309" t="s">
        <v>225</v>
      </c>
      <c r="D309">
        <v>6406</v>
      </c>
      <c r="E309">
        <v>1.2</v>
      </c>
      <c r="F309">
        <v>1.3</v>
      </c>
      <c r="G309">
        <v>4</v>
      </c>
      <c r="H309">
        <v>5.7</v>
      </c>
      <c r="I309">
        <v>9.6</v>
      </c>
      <c r="J309">
        <v>13.3</v>
      </c>
      <c r="K309">
        <v>22</v>
      </c>
      <c r="L309">
        <v>25.2</v>
      </c>
      <c r="M309">
        <v>9.6</v>
      </c>
      <c r="N309">
        <v>8.1</v>
      </c>
      <c r="O309">
        <v>2</v>
      </c>
      <c r="P30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6.8940000000000001</v>
      </c>
    </row>
    <row r="310" spans="1:16" x14ac:dyDescent="0.3">
      <c r="A310">
        <v>2023</v>
      </c>
      <c r="B310" t="s">
        <v>190</v>
      </c>
      <c r="C310" t="s">
        <v>226</v>
      </c>
      <c r="D310">
        <v>5263</v>
      </c>
      <c r="E310">
        <v>1</v>
      </c>
      <c r="F310">
        <v>1.1000000000000001</v>
      </c>
      <c r="G310">
        <v>3</v>
      </c>
      <c r="H310">
        <v>4.2</v>
      </c>
      <c r="I310">
        <v>8</v>
      </c>
      <c r="J310">
        <v>11.7</v>
      </c>
      <c r="K310">
        <v>21.1</v>
      </c>
      <c r="L310">
        <v>25.2</v>
      </c>
      <c r="M310">
        <v>13.2</v>
      </c>
      <c r="N310">
        <v>11.3</v>
      </c>
      <c r="O310">
        <v>2.8</v>
      </c>
      <c r="P31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7.2029999999999994</v>
      </c>
    </row>
    <row r="311" spans="1:16" x14ac:dyDescent="0.3">
      <c r="A311">
        <v>2023</v>
      </c>
      <c r="B311" t="s">
        <v>191</v>
      </c>
      <c r="C311" t="s">
        <v>224</v>
      </c>
      <c r="D311">
        <v>11370</v>
      </c>
      <c r="E311">
        <v>0.4</v>
      </c>
      <c r="F311">
        <v>0.4</v>
      </c>
      <c r="G311">
        <v>1.5</v>
      </c>
      <c r="H311">
        <v>2.9</v>
      </c>
      <c r="I311">
        <v>6.4</v>
      </c>
      <c r="J311">
        <v>10.9</v>
      </c>
      <c r="K311">
        <v>20.6</v>
      </c>
      <c r="L311">
        <v>29.9</v>
      </c>
      <c r="M311">
        <v>14.5</v>
      </c>
      <c r="N311">
        <v>12.5</v>
      </c>
      <c r="O311">
        <v>4.9000000000000004</v>
      </c>
      <c r="P31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7.5359999999999996</v>
      </c>
    </row>
    <row r="312" spans="1:16" x14ac:dyDescent="0.3">
      <c r="A312">
        <v>2023</v>
      </c>
      <c r="B312" t="s">
        <v>191</v>
      </c>
      <c r="C312" t="s">
        <v>225</v>
      </c>
      <c r="D312">
        <v>6234</v>
      </c>
      <c r="E312">
        <v>0.3</v>
      </c>
      <c r="F312">
        <v>0.5</v>
      </c>
      <c r="G312">
        <v>1.8</v>
      </c>
      <c r="H312">
        <v>3.1</v>
      </c>
      <c r="I312">
        <v>7.4</v>
      </c>
      <c r="J312">
        <v>11.9</v>
      </c>
      <c r="K312">
        <v>20.6</v>
      </c>
      <c r="L312">
        <v>30.1</v>
      </c>
      <c r="M312">
        <v>13.2</v>
      </c>
      <c r="N312">
        <v>11</v>
      </c>
      <c r="O312">
        <v>4.7</v>
      </c>
      <c r="P31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7.4130000000000003</v>
      </c>
    </row>
    <row r="313" spans="1:16" x14ac:dyDescent="0.3">
      <c r="A313">
        <v>2023</v>
      </c>
      <c r="B313" t="s">
        <v>191</v>
      </c>
      <c r="C313" t="s">
        <v>226</v>
      </c>
      <c r="D313">
        <v>5136</v>
      </c>
      <c r="E313">
        <v>0.4</v>
      </c>
      <c r="F313">
        <v>0.3</v>
      </c>
      <c r="G313">
        <v>1.1000000000000001</v>
      </c>
      <c r="H313">
        <v>2.7</v>
      </c>
      <c r="I313">
        <v>5.0999999999999996</v>
      </c>
      <c r="J313">
        <v>9.6999999999999993</v>
      </c>
      <c r="K313">
        <v>20.399999999999999</v>
      </c>
      <c r="L313">
        <v>29.6</v>
      </c>
      <c r="M313">
        <v>16.100000000000001</v>
      </c>
      <c r="N313">
        <v>14.3</v>
      </c>
      <c r="O313">
        <v>5.0999999999999996</v>
      </c>
      <c r="P31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7.6630000000000003</v>
      </c>
    </row>
    <row r="314" spans="1:16" x14ac:dyDescent="0.3">
      <c r="A314">
        <v>2023</v>
      </c>
      <c r="B314" t="s">
        <v>192</v>
      </c>
      <c r="C314" t="s">
        <v>224</v>
      </c>
      <c r="D314">
        <v>11631</v>
      </c>
      <c r="E314">
        <v>1.2</v>
      </c>
      <c r="F314">
        <v>1.2</v>
      </c>
      <c r="G314">
        <v>2.7</v>
      </c>
      <c r="H314">
        <v>3.9</v>
      </c>
      <c r="I314">
        <v>7.7</v>
      </c>
      <c r="J314">
        <v>11.9</v>
      </c>
      <c r="K314">
        <v>21</v>
      </c>
      <c r="L314">
        <v>26.1</v>
      </c>
      <c r="M314">
        <v>12.9</v>
      </c>
      <c r="N314">
        <v>11.5</v>
      </c>
      <c r="O314">
        <v>2.7</v>
      </c>
      <c r="P31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7.2409999999999997</v>
      </c>
    </row>
    <row r="315" spans="1:16" x14ac:dyDescent="0.3">
      <c r="A315">
        <v>2023</v>
      </c>
      <c r="B315" t="s">
        <v>192</v>
      </c>
      <c r="C315" t="s">
        <v>225</v>
      </c>
      <c r="D315">
        <v>6392</v>
      </c>
      <c r="E315">
        <v>1.3</v>
      </c>
      <c r="F315">
        <v>1.3</v>
      </c>
      <c r="G315">
        <v>2.6</v>
      </c>
      <c r="H315">
        <v>4.5</v>
      </c>
      <c r="I315">
        <v>8.6</v>
      </c>
      <c r="J315">
        <v>12.5</v>
      </c>
      <c r="K315">
        <v>21.9</v>
      </c>
      <c r="L315">
        <v>25.5</v>
      </c>
      <c r="M315">
        <v>11.8</v>
      </c>
      <c r="N315">
        <v>10</v>
      </c>
      <c r="O315">
        <v>2.2999999999999998</v>
      </c>
      <c r="P31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7.1120000000000001</v>
      </c>
    </row>
    <row r="316" spans="1:16" x14ac:dyDescent="0.3">
      <c r="A316">
        <v>2023</v>
      </c>
      <c r="B316" t="s">
        <v>192</v>
      </c>
      <c r="C316" t="s">
        <v>226</v>
      </c>
      <c r="D316">
        <v>5239</v>
      </c>
      <c r="E316">
        <v>1</v>
      </c>
      <c r="F316">
        <v>1.1000000000000001</v>
      </c>
      <c r="G316">
        <v>2.7</v>
      </c>
      <c r="H316">
        <v>3.1</v>
      </c>
      <c r="I316">
        <v>6.5</v>
      </c>
      <c r="J316">
        <v>11.1</v>
      </c>
      <c r="K316">
        <v>19.899999999999999</v>
      </c>
      <c r="L316">
        <v>26.9</v>
      </c>
      <c r="M316">
        <v>14.2</v>
      </c>
      <c r="N316">
        <v>13.4</v>
      </c>
      <c r="O316">
        <v>3.2</v>
      </c>
      <c r="P31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7.391</v>
      </c>
    </row>
    <row r="317" spans="1:16" x14ac:dyDescent="0.3">
      <c r="A317">
        <v>2023</v>
      </c>
      <c r="B317" t="s">
        <v>193</v>
      </c>
      <c r="C317" t="s">
        <v>224</v>
      </c>
      <c r="D317">
        <v>11382</v>
      </c>
      <c r="E317">
        <v>0.4</v>
      </c>
      <c r="F317">
        <v>0.5</v>
      </c>
      <c r="G317">
        <v>1.9</v>
      </c>
      <c r="H317">
        <v>4</v>
      </c>
      <c r="I317">
        <v>7.7</v>
      </c>
      <c r="J317">
        <v>11.4</v>
      </c>
      <c r="K317">
        <v>20.9</v>
      </c>
      <c r="L317">
        <v>26.6</v>
      </c>
      <c r="M317">
        <v>14</v>
      </c>
      <c r="N317">
        <v>12.6</v>
      </c>
      <c r="O317">
        <v>4.8</v>
      </c>
      <c r="P31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7.4109999999999996</v>
      </c>
    </row>
    <row r="318" spans="1:16" x14ac:dyDescent="0.3">
      <c r="A318">
        <v>2023</v>
      </c>
      <c r="B318" t="s">
        <v>193</v>
      </c>
      <c r="C318" t="s">
        <v>225</v>
      </c>
      <c r="D318">
        <v>6241</v>
      </c>
      <c r="E318">
        <v>0.4</v>
      </c>
      <c r="F318">
        <v>0.5</v>
      </c>
      <c r="G318">
        <v>2</v>
      </c>
      <c r="H318">
        <v>4.3</v>
      </c>
      <c r="I318">
        <v>8.8000000000000007</v>
      </c>
      <c r="J318">
        <v>12.7</v>
      </c>
      <c r="K318">
        <v>21.5</v>
      </c>
      <c r="L318">
        <v>25.4</v>
      </c>
      <c r="M318">
        <v>12.9</v>
      </c>
      <c r="N318">
        <v>11.5</v>
      </c>
      <c r="O318">
        <v>4.5999999999999996</v>
      </c>
      <c r="P31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7.2959999999999994</v>
      </c>
    </row>
    <row r="319" spans="1:16" x14ac:dyDescent="0.3">
      <c r="A319">
        <v>2023</v>
      </c>
      <c r="B319" t="s">
        <v>193</v>
      </c>
      <c r="C319" t="s">
        <v>226</v>
      </c>
      <c r="D319">
        <v>5141</v>
      </c>
      <c r="E319">
        <v>0.4</v>
      </c>
      <c r="F319">
        <v>0.5</v>
      </c>
      <c r="G319">
        <v>1.7</v>
      </c>
      <c r="H319">
        <v>3.6</v>
      </c>
      <c r="I319">
        <v>6.4</v>
      </c>
      <c r="J319">
        <v>10</v>
      </c>
      <c r="K319">
        <v>20.100000000000001</v>
      </c>
      <c r="L319">
        <v>28.1</v>
      </c>
      <c r="M319">
        <v>15.3</v>
      </c>
      <c r="N319">
        <v>13.9</v>
      </c>
      <c r="O319">
        <v>5</v>
      </c>
      <c r="P31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7.551000000000001</v>
      </c>
    </row>
    <row r="320" spans="1:16" x14ac:dyDescent="0.3">
      <c r="A320">
        <v>2023</v>
      </c>
      <c r="B320" t="s">
        <v>194</v>
      </c>
      <c r="C320" t="s">
        <v>224</v>
      </c>
      <c r="D320">
        <v>10192</v>
      </c>
      <c r="E320">
        <v>0.3</v>
      </c>
      <c r="F320">
        <v>0.2</v>
      </c>
      <c r="G320">
        <v>0.7</v>
      </c>
      <c r="H320">
        <v>1.9</v>
      </c>
      <c r="I320">
        <v>4.5</v>
      </c>
      <c r="J320">
        <v>7.7</v>
      </c>
      <c r="K320">
        <v>17.899999999999999</v>
      </c>
      <c r="L320">
        <v>31.8</v>
      </c>
      <c r="M320">
        <v>17.8</v>
      </c>
      <c r="N320">
        <v>17.3</v>
      </c>
      <c r="O320">
        <v>14.7</v>
      </c>
      <c r="P32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7.92</v>
      </c>
    </row>
    <row r="321" spans="1:16" x14ac:dyDescent="0.3">
      <c r="A321">
        <v>2023</v>
      </c>
      <c r="B321" t="s">
        <v>194</v>
      </c>
      <c r="C321" t="s">
        <v>225</v>
      </c>
      <c r="D321">
        <v>5563</v>
      </c>
      <c r="E321">
        <v>0.4</v>
      </c>
      <c r="F321">
        <v>0.2</v>
      </c>
      <c r="G321">
        <v>0.9</v>
      </c>
      <c r="H321">
        <v>2</v>
      </c>
      <c r="I321">
        <v>5.0999999999999996</v>
      </c>
      <c r="J321">
        <v>9</v>
      </c>
      <c r="K321">
        <v>18.8</v>
      </c>
      <c r="L321">
        <v>31.6</v>
      </c>
      <c r="M321">
        <v>16.3</v>
      </c>
      <c r="N321">
        <v>15.7</v>
      </c>
      <c r="O321">
        <v>14.9</v>
      </c>
      <c r="P32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7.7910000000000004</v>
      </c>
    </row>
    <row r="322" spans="1:16" x14ac:dyDescent="0.3">
      <c r="A322">
        <v>2023</v>
      </c>
      <c r="B322" t="s">
        <v>194</v>
      </c>
      <c r="C322" t="s">
        <v>226</v>
      </c>
      <c r="D322">
        <v>4629</v>
      </c>
      <c r="E322">
        <v>0.1</v>
      </c>
      <c r="F322">
        <v>0.1</v>
      </c>
      <c r="G322">
        <v>0.5</v>
      </c>
      <c r="H322">
        <v>1.7</v>
      </c>
      <c r="I322">
        <v>3.8</v>
      </c>
      <c r="J322">
        <v>6.2</v>
      </c>
      <c r="K322">
        <v>16.899999999999999</v>
      </c>
      <c r="L322">
        <v>32</v>
      </c>
      <c r="M322">
        <v>19.600000000000001</v>
      </c>
      <c r="N322">
        <v>19.2</v>
      </c>
      <c r="O322">
        <v>14.5</v>
      </c>
      <c r="P32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8.0749999999999993</v>
      </c>
    </row>
    <row r="323" spans="1:16" x14ac:dyDescent="0.3">
      <c r="A323">
        <v>2023</v>
      </c>
      <c r="B323" t="s">
        <v>195</v>
      </c>
      <c r="C323" t="s">
        <v>224</v>
      </c>
      <c r="D323">
        <v>10596</v>
      </c>
      <c r="E323">
        <v>0.3</v>
      </c>
      <c r="F323">
        <v>0.2</v>
      </c>
      <c r="G323">
        <v>0.9</v>
      </c>
      <c r="H323">
        <v>1.8</v>
      </c>
      <c r="I323">
        <v>4.3</v>
      </c>
      <c r="J323">
        <v>8</v>
      </c>
      <c r="K323">
        <v>19.5</v>
      </c>
      <c r="L323">
        <v>31</v>
      </c>
      <c r="M323">
        <v>17.3</v>
      </c>
      <c r="N323">
        <v>16.7</v>
      </c>
      <c r="O323">
        <v>11.4</v>
      </c>
      <c r="P32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7.8730000000000002</v>
      </c>
    </row>
    <row r="324" spans="1:16" x14ac:dyDescent="0.3">
      <c r="A324">
        <v>2023</v>
      </c>
      <c r="B324" t="s">
        <v>195</v>
      </c>
      <c r="C324" t="s">
        <v>225</v>
      </c>
      <c r="D324">
        <v>5771</v>
      </c>
      <c r="E324">
        <v>0.4</v>
      </c>
      <c r="F324">
        <v>0.2</v>
      </c>
      <c r="G324">
        <v>1.1000000000000001</v>
      </c>
      <c r="H324">
        <v>1.9</v>
      </c>
      <c r="I324">
        <v>5</v>
      </c>
      <c r="J324">
        <v>8.8000000000000007</v>
      </c>
      <c r="K324">
        <v>19.899999999999999</v>
      </c>
      <c r="L324">
        <v>31</v>
      </c>
      <c r="M324">
        <v>16.399999999999999</v>
      </c>
      <c r="N324">
        <v>15.3</v>
      </c>
      <c r="O324">
        <v>11.8</v>
      </c>
      <c r="P32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7.774</v>
      </c>
    </row>
    <row r="325" spans="1:16" x14ac:dyDescent="0.3">
      <c r="A325">
        <v>2023</v>
      </c>
      <c r="B325" t="s">
        <v>195</v>
      </c>
      <c r="C325" t="s">
        <v>226</v>
      </c>
      <c r="D325">
        <v>4825</v>
      </c>
      <c r="E325">
        <v>0.1</v>
      </c>
      <c r="F325">
        <v>0.1</v>
      </c>
      <c r="G325">
        <v>0.6</v>
      </c>
      <c r="H325">
        <v>1.7</v>
      </c>
      <c r="I325">
        <v>3.3</v>
      </c>
      <c r="J325">
        <v>7</v>
      </c>
      <c r="K325">
        <v>19</v>
      </c>
      <c r="L325">
        <v>31</v>
      </c>
      <c r="M325">
        <v>18.5</v>
      </c>
      <c r="N325">
        <v>18.5</v>
      </c>
      <c r="O325">
        <v>10.9</v>
      </c>
      <c r="P32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7.9990000000000006</v>
      </c>
    </row>
    <row r="326" spans="1:16" x14ac:dyDescent="0.3">
      <c r="A326">
        <v>2023</v>
      </c>
      <c r="B326" t="s">
        <v>196</v>
      </c>
      <c r="C326" t="s">
        <v>224</v>
      </c>
      <c r="D326">
        <v>9958</v>
      </c>
      <c r="E326">
        <v>0.2</v>
      </c>
      <c r="F326">
        <v>0.3</v>
      </c>
      <c r="G326">
        <v>0.9</v>
      </c>
      <c r="H326">
        <v>2.1</v>
      </c>
      <c r="I326">
        <v>4.9000000000000004</v>
      </c>
      <c r="J326">
        <v>8.1999999999999993</v>
      </c>
      <c r="K326">
        <v>19.899999999999999</v>
      </c>
      <c r="L326">
        <v>30.7</v>
      </c>
      <c r="M326">
        <v>18</v>
      </c>
      <c r="N326">
        <v>14.8</v>
      </c>
      <c r="O326">
        <v>16.7</v>
      </c>
      <c r="P32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7.8049999999999997</v>
      </c>
    </row>
    <row r="327" spans="1:16" x14ac:dyDescent="0.3">
      <c r="A327">
        <v>2023</v>
      </c>
      <c r="B327" t="s">
        <v>196</v>
      </c>
      <c r="C327" t="s">
        <v>225</v>
      </c>
      <c r="D327">
        <v>5429</v>
      </c>
      <c r="E327">
        <v>0.2</v>
      </c>
      <c r="F327">
        <v>0.4</v>
      </c>
      <c r="G327">
        <v>1</v>
      </c>
      <c r="H327">
        <v>2.2000000000000002</v>
      </c>
      <c r="I327">
        <v>5.7</v>
      </c>
      <c r="J327">
        <v>9</v>
      </c>
      <c r="K327">
        <v>20.8</v>
      </c>
      <c r="L327">
        <v>30.4</v>
      </c>
      <c r="M327">
        <v>17.100000000000001</v>
      </c>
      <c r="N327">
        <v>13.3</v>
      </c>
      <c r="O327">
        <v>17</v>
      </c>
      <c r="P32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7.7099999999999991</v>
      </c>
    </row>
    <row r="328" spans="1:16" x14ac:dyDescent="0.3">
      <c r="A328">
        <v>2023</v>
      </c>
      <c r="B328" t="s">
        <v>196</v>
      </c>
      <c r="C328" t="s">
        <v>226</v>
      </c>
      <c r="D328">
        <v>4529</v>
      </c>
      <c r="E328">
        <v>0.1</v>
      </c>
      <c r="F328">
        <v>0.3</v>
      </c>
      <c r="G328">
        <v>0.7</v>
      </c>
      <c r="H328">
        <v>2</v>
      </c>
      <c r="I328">
        <v>4</v>
      </c>
      <c r="J328">
        <v>7.3</v>
      </c>
      <c r="K328">
        <v>18.899999999999999</v>
      </c>
      <c r="L328">
        <v>31.1</v>
      </c>
      <c r="M328">
        <v>19.100000000000001</v>
      </c>
      <c r="N328">
        <v>16.5</v>
      </c>
      <c r="O328">
        <v>16.3</v>
      </c>
      <c r="P32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7.9260000000000002</v>
      </c>
    </row>
    <row r="329" spans="1:16" x14ac:dyDescent="0.3">
      <c r="A329">
        <v>2023</v>
      </c>
      <c r="B329" t="s">
        <v>197</v>
      </c>
      <c r="C329" t="s">
        <v>224</v>
      </c>
      <c r="D329">
        <v>9756</v>
      </c>
      <c r="E329">
        <v>0.2</v>
      </c>
      <c r="F329">
        <v>0.2</v>
      </c>
      <c r="G329">
        <v>1.1000000000000001</v>
      </c>
      <c r="H329">
        <v>2.2000000000000002</v>
      </c>
      <c r="I329">
        <v>5.2</v>
      </c>
      <c r="J329">
        <v>8.4</v>
      </c>
      <c r="K329">
        <v>20.399999999999999</v>
      </c>
      <c r="L329">
        <v>30.5</v>
      </c>
      <c r="M329">
        <v>16.899999999999999</v>
      </c>
      <c r="N329">
        <v>14.8</v>
      </c>
      <c r="O329">
        <v>18.399999999999999</v>
      </c>
      <c r="P32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7.76</v>
      </c>
    </row>
    <row r="330" spans="1:16" x14ac:dyDescent="0.3">
      <c r="A330">
        <v>2023</v>
      </c>
      <c r="B330" t="s">
        <v>197</v>
      </c>
      <c r="C330" t="s">
        <v>225</v>
      </c>
      <c r="D330">
        <v>5333</v>
      </c>
      <c r="E330">
        <v>0.2</v>
      </c>
      <c r="F330">
        <v>0.2</v>
      </c>
      <c r="G330">
        <v>1.3</v>
      </c>
      <c r="H330">
        <v>2.2999999999999998</v>
      </c>
      <c r="I330">
        <v>6.1</v>
      </c>
      <c r="J330">
        <v>8.9</v>
      </c>
      <c r="K330">
        <v>20.9</v>
      </c>
      <c r="L330">
        <v>30.4</v>
      </c>
      <c r="M330">
        <v>16.600000000000001</v>
      </c>
      <c r="N330">
        <v>13.2</v>
      </c>
      <c r="O330">
        <v>18.5</v>
      </c>
      <c r="P33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7.6850000000000005</v>
      </c>
    </row>
    <row r="331" spans="1:16" x14ac:dyDescent="0.3">
      <c r="A331">
        <v>2023</v>
      </c>
      <c r="B331" t="s">
        <v>197</v>
      </c>
      <c r="C331" t="s">
        <v>226</v>
      </c>
      <c r="D331">
        <v>4423</v>
      </c>
      <c r="E331">
        <v>0.1</v>
      </c>
      <c r="F331">
        <v>0.2</v>
      </c>
      <c r="G331">
        <v>0.9</v>
      </c>
      <c r="H331">
        <v>2.1</v>
      </c>
      <c r="I331">
        <v>4.2</v>
      </c>
      <c r="J331">
        <v>7.7</v>
      </c>
      <c r="K331">
        <v>19.8</v>
      </c>
      <c r="L331">
        <v>30.8</v>
      </c>
      <c r="M331">
        <v>17.3</v>
      </c>
      <c r="N331">
        <v>16.899999999999999</v>
      </c>
      <c r="O331">
        <v>18.3</v>
      </c>
      <c r="P33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7.8849999999999998</v>
      </c>
    </row>
    <row r="332" spans="1:16" x14ac:dyDescent="0.3">
      <c r="A332">
        <v>2023</v>
      </c>
      <c r="B332" t="s">
        <v>198</v>
      </c>
      <c r="C332" t="s">
        <v>224</v>
      </c>
      <c r="D332">
        <v>10355</v>
      </c>
      <c r="E332">
        <v>0.4</v>
      </c>
      <c r="F332">
        <v>0.3</v>
      </c>
      <c r="G332">
        <v>1.1000000000000001</v>
      </c>
      <c r="H332">
        <v>2.2000000000000002</v>
      </c>
      <c r="I332">
        <v>4.7</v>
      </c>
      <c r="J332">
        <v>7</v>
      </c>
      <c r="K332">
        <v>17</v>
      </c>
      <c r="L332">
        <v>30.3</v>
      </c>
      <c r="M332">
        <v>16.3</v>
      </c>
      <c r="N332">
        <v>20.7</v>
      </c>
      <c r="O332">
        <v>13.4</v>
      </c>
      <c r="P33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7.9370000000000012</v>
      </c>
    </row>
    <row r="333" spans="1:16" x14ac:dyDescent="0.3">
      <c r="A333">
        <v>2023</v>
      </c>
      <c r="B333" t="s">
        <v>198</v>
      </c>
      <c r="C333" t="s">
        <v>225</v>
      </c>
      <c r="D333">
        <v>5626</v>
      </c>
      <c r="E333">
        <v>0.6</v>
      </c>
      <c r="F333">
        <v>0.2</v>
      </c>
      <c r="G333">
        <v>1.1000000000000001</v>
      </c>
      <c r="H333">
        <v>2.2999999999999998</v>
      </c>
      <c r="I333">
        <v>5.2</v>
      </c>
      <c r="J333">
        <v>7.9</v>
      </c>
      <c r="K333">
        <v>17.399999999999999</v>
      </c>
      <c r="L333">
        <v>30.7</v>
      </c>
      <c r="M333">
        <v>15.4</v>
      </c>
      <c r="N333">
        <v>19.100000000000001</v>
      </c>
      <c r="O333">
        <v>14</v>
      </c>
      <c r="P33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7.8389999999999995</v>
      </c>
    </row>
    <row r="334" spans="1:16" x14ac:dyDescent="0.3">
      <c r="A334">
        <v>2023</v>
      </c>
      <c r="B334" t="s">
        <v>198</v>
      </c>
      <c r="C334" t="s">
        <v>226</v>
      </c>
      <c r="D334">
        <v>4729</v>
      </c>
      <c r="E334">
        <v>0.1</v>
      </c>
      <c r="F334">
        <v>0.4</v>
      </c>
      <c r="G334">
        <v>1</v>
      </c>
      <c r="H334">
        <v>2</v>
      </c>
      <c r="I334">
        <v>4.2</v>
      </c>
      <c r="J334">
        <v>6</v>
      </c>
      <c r="K334">
        <v>16.5</v>
      </c>
      <c r="L334">
        <v>29.7</v>
      </c>
      <c r="M334">
        <v>17.399999999999999</v>
      </c>
      <c r="N334">
        <v>22.7</v>
      </c>
      <c r="O334">
        <v>12.6</v>
      </c>
      <c r="P33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8.0559999999999992</v>
      </c>
    </row>
    <row r="335" spans="1:16" x14ac:dyDescent="0.3">
      <c r="A335">
        <v>2023</v>
      </c>
      <c r="B335" t="s">
        <v>199</v>
      </c>
      <c r="C335" t="s">
        <v>224</v>
      </c>
      <c r="D335">
        <v>10977</v>
      </c>
      <c r="E335">
        <v>0.1</v>
      </c>
      <c r="F335">
        <v>0.2</v>
      </c>
      <c r="G335">
        <v>0.4</v>
      </c>
      <c r="H335">
        <v>1.2</v>
      </c>
      <c r="I335">
        <v>3</v>
      </c>
      <c r="J335">
        <v>6.6</v>
      </c>
      <c r="K335">
        <v>15.4</v>
      </c>
      <c r="L335">
        <v>28.8</v>
      </c>
      <c r="M335">
        <v>17.7</v>
      </c>
      <c r="N335">
        <v>26.7</v>
      </c>
      <c r="O335">
        <v>8.1999999999999993</v>
      </c>
      <c r="P33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8.2560000000000002</v>
      </c>
    </row>
    <row r="336" spans="1:16" x14ac:dyDescent="0.3">
      <c r="A336">
        <v>2023</v>
      </c>
      <c r="B336" t="s">
        <v>199</v>
      </c>
      <c r="C336" t="s">
        <v>225</v>
      </c>
      <c r="D336">
        <v>5947</v>
      </c>
      <c r="E336">
        <v>0.1</v>
      </c>
      <c r="F336">
        <v>0.2</v>
      </c>
      <c r="G336">
        <v>0.4</v>
      </c>
      <c r="H336">
        <v>1.3</v>
      </c>
      <c r="I336">
        <v>3.6</v>
      </c>
      <c r="J336">
        <v>7.3</v>
      </c>
      <c r="K336">
        <v>16.100000000000001</v>
      </c>
      <c r="L336">
        <v>29.2</v>
      </c>
      <c r="M336">
        <v>17.2</v>
      </c>
      <c r="N336">
        <v>24.6</v>
      </c>
      <c r="O336">
        <v>9.1</v>
      </c>
      <c r="P33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8.1580000000000013</v>
      </c>
    </row>
    <row r="337" spans="1:16" x14ac:dyDescent="0.3">
      <c r="A337">
        <v>2023</v>
      </c>
      <c r="B337" t="s">
        <v>199</v>
      </c>
      <c r="C337" t="s">
        <v>226</v>
      </c>
      <c r="D337">
        <v>5030</v>
      </c>
      <c r="E337">
        <v>0.1</v>
      </c>
      <c r="F337">
        <v>0.2</v>
      </c>
      <c r="G337">
        <v>0.3</v>
      </c>
      <c r="H337">
        <v>1.1000000000000001</v>
      </c>
      <c r="I337">
        <v>2.2000000000000002</v>
      </c>
      <c r="J337">
        <v>5.6</v>
      </c>
      <c r="K337">
        <v>14.7</v>
      </c>
      <c r="L337">
        <v>28.3</v>
      </c>
      <c r="M337">
        <v>18.3</v>
      </c>
      <c r="N337">
        <v>29.1</v>
      </c>
      <c r="O337">
        <v>7.1</v>
      </c>
      <c r="P33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8.354000000000001</v>
      </c>
    </row>
    <row r="338" spans="1:16" x14ac:dyDescent="0.3">
      <c r="A338">
        <v>2023</v>
      </c>
      <c r="B338" t="s">
        <v>200</v>
      </c>
      <c r="C338" t="s">
        <v>224</v>
      </c>
      <c r="D338">
        <v>10168</v>
      </c>
      <c r="E338">
        <v>0.1</v>
      </c>
      <c r="F338">
        <v>0.3</v>
      </c>
      <c r="G338">
        <v>0.7</v>
      </c>
      <c r="H338">
        <v>1.8</v>
      </c>
      <c r="I338">
        <v>4.8</v>
      </c>
      <c r="J338">
        <v>9.1</v>
      </c>
      <c r="K338">
        <v>19.899999999999999</v>
      </c>
      <c r="L338">
        <v>30.2</v>
      </c>
      <c r="M338">
        <v>17</v>
      </c>
      <c r="N338">
        <v>16</v>
      </c>
      <c r="O338">
        <v>14.9</v>
      </c>
      <c r="P33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7.8250000000000011</v>
      </c>
    </row>
    <row r="339" spans="1:16" x14ac:dyDescent="0.3">
      <c r="A339">
        <v>2023</v>
      </c>
      <c r="B339" t="s">
        <v>200</v>
      </c>
      <c r="C339" t="s">
        <v>225</v>
      </c>
      <c r="D339">
        <v>5529</v>
      </c>
      <c r="E339">
        <v>0.1</v>
      </c>
      <c r="F339">
        <v>0.3</v>
      </c>
      <c r="G339">
        <v>0.8</v>
      </c>
      <c r="H339">
        <v>2.1</v>
      </c>
      <c r="I339">
        <v>5.3</v>
      </c>
      <c r="J339">
        <v>10.1</v>
      </c>
      <c r="K339">
        <v>20.9</v>
      </c>
      <c r="L339">
        <v>29.9</v>
      </c>
      <c r="M339">
        <v>15.7</v>
      </c>
      <c r="N339">
        <v>14.7</v>
      </c>
      <c r="O339">
        <v>15.5</v>
      </c>
      <c r="P33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7.7239999999999993</v>
      </c>
    </row>
    <row r="340" spans="1:16" x14ac:dyDescent="0.3">
      <c r="A340">
        <v>2023</v>
      </c>
      <c r="B340" t="s">
        <v>200</v>
      </c>
      <c r="C340" t="s">
        <v>226</v>
      </c>
      <c r="D340">
        <v>4639</v>
      </c>
      <c r="E340">
        <v>0.1</v>
      </c>
      <c r="F340">
        <v>0.3</v>
      </c>
      <c r="G340">
        <v>0.6</v>
      </c>
      <c r="H340">
        <v>1.6</v>
      </c>
      <c r="I340">
        <v>4.3</v>
      </c>
      <c r="J340">
        <v>7.9</v>
      </c>
      <c r="K340">
        <v>18.8</v>
      </c>
      <c r="L340">
        <v>30.5</v>
      </c>
      <c r="M340">
        <v>18.5</v>
      </c>
      <c r="N340">
        <v>17.399999999999999</v>
      </c>
      <c r="O340">
        <v>14.3</v>
      </c>
      <c r="P34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7.9390000000000001</v>
      </c>
    </row>
    <row r="341" spans="1:16" x14ac:dyDescent="0.3">
      <c r="A341">
        <v>2023</v>
      </c>
      <c r="B341" t="s">
        <v>201</v>
      </c>
      <c r="C341" t="s">
        <v>224</v>
      </c>
      <c r="D341">
        <v>9926</v>
      </c>
      <c r="E341">
        <v>0.4</v>
      </c>
      <c r="F341">
        <v>0.4</v>
      </c>
      <c r="G341">
        <v>1.2</v>
      </c>
      <c r="H341">
        <v>2.9</v>
      </c>
      <c r="I341">
        <v>6.9</v>
      </c>
      <c r="J341">
        <v>10.5</v>
      </c>
      <c r="K341">
        <v>21.8</v>
      </c>
      <c r="L341">
        <v>27.6</v>
      </c>
      <c r="M341">
        <v>14.2</v>
      </c>
      <c r="N341">
        <v>14.1</v>
      </c>
      <c r="O341">
        <v>17</v>
      </c>
      <c r="P34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7.5609999999999999</v>
      </c>
    </row>
    <row r="342" spans="1:16" x14ac:dyDescent="0.3">
      <c r="A342">
        <v>2023</v>
      </c>
      <c r="B342" t="s">
        <v>201</v>
      </c>
      <c r="C342" t="s">
        <v>225</v>
      </c>
      <c r="D342">
        <v>5400</v>
      </c>
      <c r="E342">
        <v>0.4</v>
      </c>
      <c r="F342">
        <v>0.6</v>
      </c>
      <c r="G342">
        <v>1.3</v>
      </c>
      <c r="H342">
        <v>3.3</v>
      </c>
      <c r="I342">
        <v>7.4</v>
      </c>
      <c r="J342">
        <v>11.2</v>
      </c>
      <c r="K342">
        <v>21.8</v>
      </c>
      <c r="L342">
        <v>27.8</v>
      </c>
      <c r="M342">
        <v>13.2</v>
      </c>
      <c r="N342">
        <v>13</v>
      </c>
      <c r="O342">
        <v>17.399999999999999</v>
      </c>
      <c r="P34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7.4669999999999996</v>
      </c>
    </row>
    <row r="343" spans="1:16" x14ac:dyDescent="0.3">
      <c r="A343">
        <v>2023</v>
      </c>
      <c r="B343" t="s">
        <v>201</v>
      </c>
      <c r="C343" t="s">
        <v>226</v>
      </c>
      <c r="D343">
        <v>4526</v>
      </c>
      <c r="E343">
        <v>0.4</v>
      </c>
      <c r="F343">
        <v>0.3</v>
      </c>
      <c r="G343">
        <v>1.1000000000000001</v>
      </c>
      <c r="H343">
        <v>2.2999999999999998</v>
      </c>
      <c r="I343">
        <v>6.3</v>
      </c>
      <c r="J343">
        <v>9.6999999999999993</v>
      </c>
      <c r="K343">
        <v>21.9</v>
      </c>
      <c r="L343">
        <v>27.3</v>
      </c>
      <c r="M343">
        <v>15.4</v>
      </c>
      <c r="N343">
        <v>15.4</v>
      </c>
      <c r="O343">
        <v>16.399999999999999</v>
      </c>
      <c r="P34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7.6750000000000007</v>
      </c>
    </row>
    <row r="344" spans="1:16" x14ac:dyDescent="0.3">
      <c r="A344">
        <v>2023</v>
      </c>
      <c r="B344" t="s">
        <v>202</v>
      </c>
      <c r="C344" t="s">
        <v>224</v>
      </c>
      <c r="D344">
        <v>10761</v>
      </c>
      <c r="E344">
        <v>0.4</v>
      </c>
      <c r="F344">
        <v>0.5</v>
      </c>
      <c r="G344">
        <v>1.2</v>
      </c>
      <c r="H344">
        <v>3</v>
      </c>
      <c r="I344">
        <v>6.1</v>
      </c>
      <c r="J344">
        <v>9.3000000000000007</v>
      </c>
      <c r="K344">
        <v>20.3</v>
      </c>
      <c r="L344">
        <v>28.8</v>
      </c>
      <c r="M344">
        <v>16.5</v>
      </c>
      <c r="N344">
        <v>13.9</v>
      </c>
      <c r="O344">
        <v>10</v>
      </c>
      <c r="P34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7.633</v>
      </c>
    </row>
    <row r="345" spans="1:16" x14ac:dyDescent="0.3">
      <c r="A345">
        <v>2023</v>
      </c>
      <c r="B345" t="s">
        <v>202</v>
      </c>
      <c r="C345" t="s">
        <v>225</v>
      </c>
      <c r="D345">
        <v>5876</v>
      </c>
      <c r="E345">
        <v>0.3</v>
      </c>
      <c r="F345">
        <v>0.6</v>
      </c>
      <c r="G345">
        <v>1.4</v>
      </c>
      <c r="H345">
        <v>3.6</v>
      </c>
      <c r="I345">
        <v>6.5</v>
      </c>
      <c r="J345">
        <v>9.9</v>
      </c>
      <c r="K345">
        <v>21.5</v>
      </c>
      <c r="L345">
        <v>27.9</v>
      </c>
      <c r="M345">
        <v>15.6</v>
      </c>
      <c r="N345">
        <v>12.7</v>
      </c>
      <c r="O345">
        <v>10.199999999999999</v>
      </c>
      <c r="P34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7.5309999999999988</v>
      </c>
    </row>
    <row r="346" spans="1:16" x14ac:dyDescent="0.3">
      <c r="A346">
        <v>2023</v>
      </c>
      <c r="B346" t="s">
        <v>202</v>
      </c>
      <c r="C346" t="s">
        <v>226</v>
      </c>
      <c r="D346">
        <v>4885</v>
      </c>
      <c r="E346">
        <v>0.5</v>
      </c>
      <c r="F346">
        <v>0.4</v>
      </c>
      <c r="G346">
        <v>0.9</v>
      </c>
      <c r="H346">
        <v>2.4</v>
      </c>
      <c r="I346">
        <v>5.6</v>
      </c>
      <c r="J346">
        <v>8.6</v>
      </c>
      <c r="K346">
        <v>18.8</v>
      </c>
      <c r="L346">
        <v>29.8</v>
      </c>
      <c r="M346">
        <v>17.7</v>
      </c>
      <c r="N346">
        <v>15.3</v>
      </c>
      <c r="O346">
        <v>9.8000000000000007</v>
      </c>
      <c r="P34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7.7549999999999999</v>
      </c>
    </row>
    <row r="347" spans="1:16" x14ac:dyDescent="0.3">
      <c r="A347">
        <v>2023</v>
      </c>
      <c r="B347" t="s">
        <v>203</v>
      </c>
      <c r="C347" t="s">
        <v>224</v>
      </c>
      <c r="D347">
        <v>10781</v>
      </c>
      <c r="E347">
        <v>0.4</v>
      </c>
      <c r="F347">
        <v>0.5</v>
      </c>
      <c r="G347">
        <v>1.3</v>
      </c>
      <c r="H347">
        <v>3.4</v>
      </c>
      <c r="I347">
        <v>6.4</v>
      </c>
      <c r="J347">
        <v>9.9</v>
      </c>
      <c r="K347">
        <v>19.899999999999999</v>
      </c>
      <c r="L347">
        <v>29.8</v>
      </c>
      <c r="M347">
        <v>15.6</v>
      </c>
      <c r="N347">
        <v>12.7</v>
      </c>
      <c r="O347">
        <v>9.8000000000000007</v>
      </c>
      <c r="P34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7.5540000000000003</v>
      </c>
    </row>
    <row r="348" spans="1:16" x14ac:dyDescent="0.3">
      <c r="A348">
        <v>2023</v>
      </c>
      <c r="B348" t="s">
        <v>203</v>
      </c>
      <c r="C348" t="s">
        <v>225</v>
      </c>
      <c r="D348">
        <v>5874</v>
      </c>
      <c r="E348">
        <v>0.5</v>
      </c>
      <c r="F348">
        <v>0.5</v>
      </c>
      <c r="G348">
        <v>1.4</v>
      </c>
      <c r="H348">
        <v>3.9</v>
      </c>
      <c r="I348">
        <v>6.7</v>
      </c>
      <c r="J348">
        <v>10.3</v>
      </c>
      <c r="K348">
        <v>20.7</v>
      </c>
      <c r="L348">
        <v>29.8</v>
      </c>
      <c r="M348">
        <v>14.6</v>
      </c>
      <c r="N348">
        <v>11.6</v>
      </c>
      <c r="O348">
        <v>10.199999999999999</v>
      </c>
      <c r="P34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7.4730000000000008</v>
      </c>
    </row>
    <row r="349" spans="1:16" x14ac:dyDescent="0.3">
      <c r="A349">
        <v>2023</v>
      </c>
      <c r="B349" t="s">
        <v>203</v>
      </c>
      <c r="C349" t="s">
        <v>226</v>
      </c>
      <c r="D349">
        <v>4907</v>
      </c>
      <c r="E349">
        <v>0.4</v>
      </c>
      <c r="F349">
        <v>0.5</v>
      </c>
      <c r="G349">
        <v>1.1000000000000001</v>
      </c>
      <c r="H349">
        <v>2.9</v>
      </c>
      <c r="I349">
        <v>6</v>
      </c>
      <c r="J349">
        <v>9.4</v>
      </c>
      <c r="K349">
        <v>19</v>
      </c>
      <c r="L349">
        <v>29.8</v>
      </c>
      <c r="M349">
        <v>16.899999999999999</v>
      </c>
      <c r="N349">
        <v>14.1</v>
      </c>
      <c r="O349">
        <v>9.3000000000000007</v>
      </c>
      <c r="P34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7.6719999999999997</v>
      </c>
    </row>
    <row r="350" spans="1:16" x14ac:dyDescent="0.3">
      <c r="A350">
        <v>2023</v>
      </c>
      <c r="B350" t="s">
        <v>204</v>
      </c>
      <c r="C350" t="s">
        <v>224</v>
      </c>
      <c r="D350">
        <v>10923</v>
      </c>
      <c r="E350">
        <v>0.7</v>
      </c>
      <c r="F350">
        <v>0.7</v>
      </c>
      <c r="G350">
        <v>1.4</v>
      </c>
      <c r="H350">
        <v>3.8</v>
      </c>
      <c r="I350">
        <v>5.8</v>
      </c>
      <c r="J350">
        <v>10</v>
      </c>
      <c r="K350">
        <v>20.399999999999999</v>
      </c>
      <c r="L350">
        <v>29.9</v>
      </c>
      <c r="M350">
        <v>14.7</v>
      </c>
      <c r="N350">
        <v>12.5</v>
      </c>
      <c r="O350">
        <v>8.6</v>
      </c>
      <c r="P35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7.4979999999999993</v>
      </c>
    </row>
    <row r="351" spans="1:16" x14ac:dyDescent="0.3">
      <c r="A351">
        <v>2023</v>
      </c>
      <c r="B351" t="s">
        <v>204</v>
      </c>
      <c r="C351" t="s">
        <v>225</v>
      </c>
      <c r="D351">
        <v>5962</v>
      </c>
      <c r="E351">
        <v>0.8</v>
      </c>
      <c r="F351">
        <v>0.7</v>
      </c>
      <c r="G351">
        <v>1.6</v>
      </c>
      <c r="H351">
        <v>3.9</v>
      </c>
      <c r="I351">
        <v>6.4</v>
      </c>
      <c r="J351">
        <v>10.3</v>
      </c>
      <c r="K351">
        <v>21</v>
      </c>
      <c r="L351">
        <v>29.8</v>
      </c>
      <c r="M351">
        <v>13.9</v>
      </c>
      <c r="N351">
        <v>11.4</v>
      </c>
      <c r="O351">
        <v>8.8000000000000007</v>
      </c>
      <c r="P35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7.4090000000000007</v>
      </c>
    </row>
    <row r="352" spans="1:16" x14ac:dyDescent="0.3">
      <c r="A352">
        <v>2023</v>
      </c>
      <c r="B352" t="s">
        <v>204</v>
      </c>
      <c r="C352" t="s">
        <v>226</v>
      </c>
      <c r="D352">
        <v>4961</v>
      </c>
      <c r="E352">
        <v>0.7</v>
      </c>
      <c r="F352">
        <v>0.6</v>
      </c>
      <c r="G352">
        <v>1.2</v>
      </c>
      <c r="H352">
        <v>3.6</v>
      </c>
      <c r="I352">
        <v>5.0999999999999996</v>
      </c>
      <c r="J352">
        <v>9.6</v>
      </c>
      <c r="K352">
        <v>19.8</v>
      </c>
      <c r="L352">
        <v>30</v>
      </c>
      <c r="M352">
        <v>15.7</v>
      </c>
      <c r="N352">
        <v>13.7</v>
      </c>
      <c r="O352">
        <v>8.4</v>
      </c>
      <c r="P35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7.5989999999999993</v>
      </c>
    </row>
    <row r="353" spans="1:16" x14ac:dyDescent="0.3">
      <c r="A353">
        <v>2023</v>
      </c>
      <c r="B353" t="s">
        <v>205</v>
      </c>
      <c r="C353" t="s">
        <v>224</v>
      </c>
      <c r="D353">
        <v>11494</v>
      </c>
      <c r="E353">
        <v>0.4</v>
      </c>
      <c r="F353">
        <v>0.3</v>
      </c>
      <c r="G353">
        <v>1.1000000000000001</v>
      </c>
      <c r="H353">
        <v>2.7</v>
      </c>
      <c r="I353">
        <v>5.7</v>
      </c>
      <c r="J353">
        <v>8.6</v>
      </c>
      <c r="K353">
        <v>18.3</v>
      </c>
      <c r="L353">
        <v>29.1</v>
      </c>
      <c r="M353">
        <v>18.5</v>
      </c>
      <c r="N353">
        <v>15.1</v>
      </c>
      <c r="O353">
        <v>3.8</v>
      </c>
      <c r="P35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7.7359999999999998</v>
      </c>
    </row>
    <row r="354" spans="1:16" x14ac:dyDescent="0.3">
      <c r="A354">
        <v>2023</v>
      </c>
      <c r="B354" t="s">
        <v>205</v>
      </c>
      <c r="C354" t="s">
        <v>225</v>
      </c>
      <c r="D354">
        <v>6302</v>
      </c>
      <c r="E354">
        <v>0.4</v>
      </c>
      <c r="F354">
        <v>0.3</v>
      </c>
      <c r="G354">
        <v>1.3</v>
      </c>
      <c r="H354">
        <v>3.1</v>
      </c>
      <c r="I354">
        <v>6.2</v>
      </c>
      <c r="J354">
        <v>8.8000000000000007</v>
      </c>
      <c r="K354">
        <v>18.8</v>
      </c>
      <c r="L354">
        <v>29.1</v>
      </c>
      <c r="M354">
        <v>17.8</v>
      </c>
      <c r="N354">
        <v>14.3</v>
      </c>
      <c r="O354">
        <v>3.6</v>
      </c>
      <c r="P35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7.6870000000000003</v>
      </c>
    </row>
    <row r="355" spans="1:16" x14ac:dyDescent="0.3">
      <c r="A355">
        <v>2023</v>
      </c>
      <c r="B355" t="s">
        <v>205</v>
      </c>
      <c r="C355" t="s">
        <v>226</v>
      </c>
      <c r="D355">
        <v>5192</v>
      </c>
      <c r="E355">
        <v>0.4</v>
      </c>
      <c r="F355">
        <v>0.3</v>
      </c>
      <c r="G355">
        <v>0.9</v>
      </c>
      <c r="H355">
        <v>2.2999999999999998</v>
      </c>
      <c r="I355">
        <v>5.2</v>
      </c>
      <c r="J355">
        <v>8.4</v>
      </c>
      <c r="K355">
        <v>17.600000000000001</v>
      </c>
      <c r="L355">
        <v>29.2</v>
      </c>
      <c r="M355">
        <v>19.399999999999999</v>
      </c>
      <c r="N355">
        <v>16.2</v>
      </c>
      <c r="O355">
        <v>4.0999999999999996</v>
      </c>
      <c r="P35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7.8270000000000008</v>
      </c>
    </row>
    <row r="356" spans="1:16" x14ac:dyDescent="0.3">
      <c r="A356">
        <v>2023</v>
      </c>
      <c r="B356" t="s">
        <v>206</v>
      </c>
      <c r="C356" t="s">
        <v>224</v>
      </c>
      <c r="D356">
        <v>10511</v>
      </c>
      <c r="E356">
        <v>0.1</v>
      </c>
      <c r="F356">
        <v>0.2</v>
      </c>
      <c r="G356">
        <v>0.8</v>
      </c>
      <c r="H356">
        <v>2.6</v>
      </c>
      <c r="I356">
        <v>4.8</v>
      </c>
      <c r="J356">
        <v>8</v>
      </c>
      <c r="K356">
        <v>18.7</v>
      </c>
      <c r="L356">
        <v>28.5</v>
      </c>
      <c r="M356">
        <v>19.2</v>
      </c>
      <c r="N356">
        <v>17.100000000000001</v>
      </c>
      <c r="O356">
        <v>12.1</v>
      </c>
      <c r="P35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7.88</v>
      </c>
    </row>
    <row r="357" spans="1:16" x14ac:dyDescent="0.3">
      <c r="A357">
        <v>2023</v>
      </c>
      <c r="B357" t="s">
        <v>206</v>
      </c>
      <c r="C357" t="s">
        <v>225</v>
      </c>
      <c r="D357">
        <v>5718</v>
      </c>
      <c r="E357">
        <v>0</v>
      </c>
      <c r="F357">
        <v>0.1</v>
      </c>
      <c r="G357">
        <v>0.5</v>
      </c>
      <c r="H357">
        <v>2.7</v>
      </c>
      <c r="I357">
        <v>5.0999999999999996</v>
      </c>
      <c r="J357">
        <v>8.5</v>
      </c>
      <c r="K357">
        <v>19.100000000000001</v>
      </c>
      <c r="L357">
        <v>28.8</v>
      </c>
      <c r="M357">
        <v>18.5</v>
      </c>
      <c r="N357">
        <v>16.5</v>
      </c>
      <c r="O357">
        <v>12.6</v>
      </c>
      <c r="P35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7.8460000000000001</v>
      </c>
    </row>
    <row r="358" spans="1:16" x14ac:dyDescent="0.3">
      <c r="A358">
        <v>2023</v>
      </c>
      <c r="B358" t="s">
        <v>206</v>
      </c>
      <c r="C358" t="s">
        <v>226</v>
      </c>
      <c r="D358">
        <v>4793</v>
      </c>
      <c r="E358">
        <v>0.1</v>
      </c>
      <c r="F358">
        <v>0.3</v>
      </c>
      <c r="G358">
        <v>1.1000000000000001</v>
      </c>
      <c r="H358">
        <v>2.5</v>
      </c>
      <c r="I358">
        <v>4.4000000000000004</v>
      </c>
      <c r="J358">
        <v>7.4</v>
      </c>
      <c r="K358">
        <v>18.100000000000001</v>
      </c>
      <c r="L358">
        <v>28.2</v>
      </c>
      <c r="M358">
        <v>20.100000000000001</v>
      </c>
      <c r="N358">
        <v>17.899999999999999</v>
      </c>
      <c r="O358">
        <v>11.5</v>
      </c>
      <c r="P35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7.9260000000000002</v>
      </c>
    </row>
    <row r="359" spans="1:16" x14ac:dyDescent="0.3">
      <c r="A359">
        <v>2023</v>
      </c>
      <c r="B359" t="s">
        <v>207</v>
      </c>
      <c r="C359" t="s">
        <v>224</v>
      </c>
      <c r="D359">
        <v>9960</v>
      </c>
      <c r="E359">
        <v>0.2</v>
      </c>
      <c r="F359">
        <v>0.3</v>
      </c>
      <c r="G359">
        <v>1.3</v>
      </c>
      <c r="H359">
        <v>3.5</v>
      </c>
      <c r="I359">
        <v>6</v>
      </c>
      <c r="J359">
        <v>9.4</v>
      </c>
      <c r="K359">
        <v>21.4</v>
      </c>
      <c r="L359">
        <v>28.9</v>
      </c>
      <c r="M359">
        <v>16.600000000000001</v>
      </c>
      <c r="N359">
        <v>12.4</v>
      </c>
      <c r="O359">
        <v>16.7</v>
      </c>
      <c r="P35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7.5949999999999998</v>
      </c>
    </row>
    <row r="360" spans="1:16" x14ac:dyDescent="0.3">
      <c r="A360">
        <v>2023</v>
      </c>
      <c r="B360" t="s">
        <v>207</v>
      </c>
      <c r="C360" t="s">
        <v>225</v>
      </c>
      <c r="D360">
        <v>5398</v>
      </c>
      <c r="E360">
        <v>0.2</v>
      </c>
      <c r="F360">
        <v>0.3</v>
      </c>
      <c r="G360">
        <v>1.5</v>
      </c>
      <c r="H360">
        <v>3.6</v>
      </c>
      <c r="I360">
        <v>6.8</v>
      </c>
      <c r="J360">
        <v>9.6</v>
      </c>
      <c r="K360">
        <v>22.5</v>
      </c>
      <c r="L360">
        <v>28.7</v>
      </c>
      <c r="M360">
        <v>15.3</v>
      </c>
      <c r="N360">
        <v>11.6</v>
      </c>
      <c r="O360">
        <v>17.5</v>
      </c>
      <c r="P36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7.5210000000000008</v>
      </c>
    </row>
    <row r="361" spans="1:16" x14ac:dyDescent="0.3">
      <c r="A361">
        <v>2023</v>
      </c>
      <c r="B361" t="s">
        <v>207</v>
      </c>
      <c r="C361" t="s">
        <v>226</v>
      </c>
      <c r="D361">
        <v>4562</v>
      </c>
      <c r="E361">
        <v>0.2</v>
      </c>
      <c r="F361">
        <v>0.3</v>
      </c>
      <c r="G361">
        <v>1</v>
      </c>
      <c r="H361">
        <v>3.4</v>
      </c>
      <c r="I361">
        <v>5.0999999999999996</v>
      </c>
      <c r="J361">
        <v>9.1999999999999993</v>
      </c>
      <c r="K361">
        <v>20.100000000000001</v>
      </c>
      <c r="L361">
        <v>29.1</v>
      </c>
      <c r="M361">
        <v>18.2</v>
      </c>
      <c r="N361">
        <v>13.4</v>
      </c>
      <c r="O361">
        <v>15.7</v>
      </c>
      <c r="P36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7.6940000000000008</v>
      </c>
    </row>
    <row r="362" spans="1:16" x14ac:dyDescent="0.3">
      <c r="A362">
        <v>2023</v>
      </c>
      <c r="B362" t="s">
        <v>208</v>
      </c>
      <c r="C362" t="s">
        <v>224</v>
      </c>
      <c r="D362">
        <v>11556</v>
      </c>
      <c r="E362">
        <v>0.6</v>
      </c>
      <c r="F362">
        <v>0.3</v>
      </c>
      <c r="G362">
        <v>1.1000000000000001</v>
      </c>
      <c r="H362">
        <v>1.9</v>
      </c>
      <c r="I362">
        <v>4</v>
      </c>
      <c r="J362">
        <v>7</v>
      </c>
      <c r="K362">
        <v>16.399999999999999</v>
      </c>
      <c r="L362">
        <v>27</v>
      </c>
      <c r="M362">
        <v>18.100000000000001</v>
      </c>
      <c r="N362">
        <v>23.5</v>
      </c>
      <c r="O362">
        <v>3.3</v>
      </c>
      <c r="P36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8.0279999999999987</v>
      </c>
    </row>
    <row r="363" spans="1:16" x14ac:dyDescent="0.3">
      <c r="A363">
        <v>2023</v>
      </c>
      <c r="B363" t="s">
        <v>208</v>
      </c>
      <c r="C363" t="s">
        <v>225</v>
      </c>
      <c r="D363">
        <v>6312</v>
      </c>
      <c r="E363">
        <v>0.6</v>
      </c>
      <c r="F363">
        <v>0.4</v>
      </c>
      <c r="G363">
        <v>1.2</v>
      </c>
      <c r="H363">
        <v>1.9</v>
      </c>
      <c r="I363">
        <v>4.2</v>
      </c>
      <c r="J363">
        <v>7.1</v>
      </c>
      <c r="K363">
        <v>17</v>
      </c>
      <c r="L363">
        <v>27.1</v>
      </c>
      <c r="M363">
        <v>17.899999999999999</v>
      </c>
      <c r="N363">
        <v>22.6</v>
      </c>
      <c r="O363">
        <v>3.5</v>
      </c>
      <c r="P36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7.9909999999999997</v>
      </c>
    </row>
    <row r="364" spans="1:16" x14ac:dyDescent="0.3">
      <c r="A364">
        <v>2023</v>
      </c>
      <c r="B364" t="s">
        <v>208</v>
      </c>
      <c r="C364" t="s">
        <v>226</v>
      </c>
      <c r="D364">
        <v>5244</v>
      </c>
      <c r="E364">
        <v>0.6</v>
      </c>
      <c r="F364">
        <v>0.3</v>
      </c>
      <c r="G364">
        <v>0.9</v>
      </c>
      <c r="H364">
        <v>1.9</v>
      </c>
      <c r="I364">
        <v>3.9</v>
      </c>
      <c r="J364">
        <v>6.9</v>
      </c>
      <c r="K364">
        <v>15.8</v>
      </c>
      <c r="L364">
        <v>27</v>
      </c>
      <c r="M364">
        <v>18.3</v>
      </c>
      <c r="N364">
        <v>24.5</v>
      </c>
      <c r="O364">
        <v>3.1</v>
      </c>
      <c r="P36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8.0869999999999997</v>
      </c>
    </row>
    <row r="365" spans="1:16" x14ac:dyDescent="0.3">
      <c r="A365">
        <v>2024</v>
      </c>
      <c r="B365" t="s">
        <v>118</v>
      </c>
      <c r="C365" t="s">
        <v>224</v>
      </c>
      <c r="D365">
        <v>11918</v>
      </c>
      <c r="E365">
        <v>0</v>
      </c>
      <c r="F365">
        <v>0</v>
      </c>
      <c r="G365">
        <v>0</v>
      </c>
      <c r="H365">
        <v>1.6</v>
      </c>
      <c r="I365">
        <v>4.5999999999999996</v>
      </c>
      <c r="J365">
        <v>8.4</v>
      </c>
      <c r="K365">
        <v>39.799999999999997</v>
      </c>
      <c r="L365">
        <v>19.5</v>
      </c>
      <c r="M365">
        <v>14.2</v>
      </c>
      <c r="N365">
        <v>11.8</v>
      </c>
      <c r="O365">
        <v>0.1</v>
      </c>
      <c r="P36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7.6020000000000003</v>
      </c>
    </row>
    <row r="366" spans="1:16" x14ac:dyDescent="0.3">
      <c r="A366">
        <v>2024</v>
      </c>
      <c r="B366" t="s">
        <v>118</v>
      </c>
      <c r="C366" t="s">
        <v>225</v>
      </c>
      <c r="D366">
        <v>6544</v>
      </c>
      <c r="E366">
        <v>0</v>
      </c>
      <c r="F366">
        <v>0</v>
      </c>
      <c r="G366">
        <v>0</v>
      </c>
      <c r="H366">
        <v>1.9</v>
      </c>
      <c r="I366">
        <v>5.3</v>
      </c>
      <c r="J366">
        <v>8.9</v>
      </c>
      <c r="K366">
        <v>42.6</v>
      </c>
      <c r="L366">
        <v>17.5</v>
      </c>
      <c r="M366">
        <v>13.5</v>
      </c>
      <c r="N366">
        <v>10.3</v>
      </c>
      <c r="O366">
        <v>0.2</v>
      </c>
      <c r="P36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7.5019999999999998</v>
      </c>
    </row>
    <row r="367" spans="1:16" x14ac:dyDescent="0.3">
      <c r="A367">
        <v>2024</v>
      </c>
      <c r="B367" t="s">
        <v>118</v>
      </c>
      <c r="C367" t="s">
        <v>226</v>
      </c>
      <c r="D367">
        <v>5374</v>
      </c>
      <c r="E367">
        <v>0</v>
      </c>
      <c r="F367">
        <v>0.1</v>
      </c>
      <c r="G367">
        <v>0</v>
      </c>
      <c r="H367">
        <v>1.3</v>
      </c>
      <c r="I367">
        <v>3.8</v>
      </c>
      <c r="J367">
        <v>7.8</v>
      </c>
      <c r="K367">
        <v>36.4</v>
      </c>
      <c r="L367">
        <v>21.9</v>
      </c>
      <c r="M367">
        <v>15</v>
      </c>
      <c r="N367">
        <v>13.7</v>
      </c>
      <c r="O367">
        <v>0</v>
      </c>
      <c r="P36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7.7320000000000002</v>
      </c>
    </row>
    <row r="368" spans="1:16" x14ac:dyDescent="0.3">
      <c r="A368">
        <v>2024</v>
      </c>
      <c r="B368" t="s">
        <v>126</v>
      </c>
      <c r="C368" t="s">
        <v>224</v>
      </c>
      <c r="D368">
        <v>11903</v>
      </c>
      <c r="E368">
        <v>0</v>
      </c>
      <c r="F368">
        <v>0</v>
      </c>
      <c r="G368">
        <v>0.2</v>
      </c>
      <c r="H368">
        <v>2.1</v>
      </c>
      <c r="I368">
        <v>4.9000000000000004</v>
      </c>
      <c r="J368">
        <v>10.4</v>
      </c>
      <c r="K368">
        <v>28.8</v>
      </c>
      <c r="L368">
        <v>26.7</v>
      </c>
      <c r="M368">
        <v>16.399999999999999</v>
      </c>
      <c r="N368">
        <v>10.5</v>
      </c>
      <c r="O368">
        <v>0.2</v>
      </c>
      <c r="P36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7.6370000000000005</v>
      </c>
    </row>
    <row r="369" spans="1:16" x14ac:dyDescent="0.3">
      <c r="A369">
        <v>2024</v>
      </c>
      <c r="B369" t="s">
        <v>126</v>
      </c>
      <c r="C369" t="s">
        <v>225</v>
      </c>
      <c r="D369">
        <v>6539</v>
      </c>
      <c r="E369">
        <v>0</v>
      </c>
      <c r="F369">
        <v>0</v>
      </c>
      <c r="G369">
        <v>0.2</v>
      </c>
      <c r="H369">
        <v>2.5</v>
      </c>
      <c r="I369">
        <v>5.3</v>
      </c>
      <c r="J369">
        <v>11.5</v>
      </c>
      <c r="K369">
        <v>29.5</v>
      </c>
      <c r="L369">
        <v>26.4</v>
      </c>
      <c r="M369">
        <v>15.4</v>
      </c>
      <c r="N369">
        <v>9.1999999999999993</v>
      </c>
      <c r="O369">
        <v>0.3</v>
      </c>
      <c r="P36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7.5439999999999996</v>
      </c>
    </row>
    <row r="370" spans="1:16" x14ac:dyDescent="0.3">
      <c r="A370">
        <v>2024</v>
      </c>
      <c r="B370" t="s">
        <v>126</v>
      </c>
      <c r="C370" t="s">
        <v>226</v>
      </c>
      <c r="D370">
        <v>5364</v>
      </c>
      <c r="E370">
        <v>0</v>
      </c>
      <c r="F370">
        <v>0</v>
      </c>
      <c r="G370">
        <v>0.2</v>
      </c>
      <c r="H370">
        <v>1.7</v>
      </c>
      <c r="I370">
        <v>4.4000000000000004</v>
      </c>
      <c r="J370">
        <v>9</v>
      </c>
      <c r="K370">
        <v>27.9</v>
      </c>
      <c r="L370">
        <v>27.1</v>
      </c>
      <c r="M370">
        <v>17.600000000000001</v>
      </c>
      <c r="N370">
        <v>12.1</v>
      </c>
      <c r="O370">
        <v>0.2</v>
      </c>
      <c r="P37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7.7489999999999997</v>
      </c>
    </row>
    <row r="371" spans="1:16" x14ac:dyDescent="0.3">
      <c r="A371">
        <v>2024</v>
      </c>
      <c r="B371" t="s">
        <v>127</v>
      </c>
      <c r="C371" t="s">
        <v>224</v>
      </c>
      <c r="D371">
        <v>11888</v>
      </c>
      <c r="E371">
        <v>0.2</v>
      </c>
      <c r="F371">
        <v>0.3</v>
      </c>
      <c r="G371">
        <v>1.6</v>
      </c>
      <c r="H371">
        <v>4</v>
      </c>
      <c r="I371">
        <v>7.2</v>
      </c>
      <c r="J371">
        <v>11</v>
      </c>
      <c r="K371">
        <v>24.8</v>
      </c>
      <c r="L371">
        <v>23.5</v>
      </c>
      <c r="M371">
        <v>16.3</v>
      </c>
      <c r="N371">
        <v>11.1</v>
      </c>
      <c r="O371">
        <v>0.4</v>
      </c>
      <c r="P37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7.4290000000000012</v>
      </c>
    </row>
    <row r="372" spans="1:16" x14ac:dyDescent="0.3">
      <c r="A372">
        <v>2024</v>
      </c>
      <c r="B372" t="s">
        <v>127</v>
      </c>
      <c r="C372" t="s">
        <v>225</v>
      </c>
      <c r="D372">
        <v>6529</v>
      </c>
      <c r="E372">
        <v>0.2</v>
      </c>
      <c r="F372">
        <v>0.2</v>
      </c>
      <c r="G372">
        <v>1.7</v>
      </c>
      <c r="H372">
        <v>4.3</v>
      </c>
      <c r="I372">
        <v>7.8</v>
      </c>
      <c r="J372">
        <v>11.9</v>
      </c>
      <c r="K372">
        <v>25.6</v>
      </c>
      <c r="L372">
        <v>22.7</v>
      </c>
      <c r="M372">
        <v>15.3</v>
      </c>
      <c r="N372">
        <v>10.199999999999999</v>
      </c>
      <c r="O372">
        <v>0.4</v>
      </c>
      <c r="P37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7.338000000000001</v>
      </c>
    </row>
    <row r="373" spans="1:16" x14ac:dyDescent="0.3">
      <c r="A373">
        <v>2024</v>
      </c>
      <c r="B373" t="s">
        <v>127</v>
      </c>
      <c r="C373" t="s">
        <v>226</v>
      </c>
      <c r="D373">
        <v>5359</v>
      </c>
      <c r="E373">
        <v>0.2</v>
      </c>
      <c r="F373">
        <v>0.3</v>
      </c>
      <c r="G373">
        <v>1.4</v>
      </c>
      <c r="H373">
        <v>3.7</v>
      </c>
      <c r="I373">
        <v>6.5</v>
      </c>
      <c r="J373">
        <v>9.8000000000000007</v>
      </c>
      <c r="K373">
        <v>23.8</v>
      </c>
      <c r="L373">
        <v>24.5</v>
      </c>
      <c r="M373">
        <v>17.399999999999999</v>
      </c>
      <c r="N373">
        <v>12.2</v>
      </c>
      <c r="O373">
        <v>0.3</v>
      </c>
      <c r="P37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7.5229999999999997</v>
      </c>
    </row>
    <row r="374" spans="1:16" x14ac:dyDescent="0.3">
      <c r="A374">
        <v>2024</v>
      </c>
      <c r="B374" t="s">
        <v>128</v>
      </c>
      <c r="C374" t="s">
        <v>224</v>
      </c>
      <c r="D374">
        <v>11626</v>
      </c>
      <c r="E374">
        <v>0</v>
      </c>
      <c r="F374">
        <v>0</v>
      </c>
      <c r="G374">
        <v>0.2</v>
      </c>
      <c r="H374">
        <v>5.2</v>
      </c>
      <c r="I374">
        <v>7.8</v>
      </c>
      <c r="J374">
        <v>13.5</v>
      </c>
      <c r="K374">
        <v>36.5</v>
      </c>
      <c r="L374">
        <v>18.600000000000001</v>
      </c>
      <c r="M374">
        <v>12.6</v>
      </c>
      <c r="N374">
        <v>5.7</v>
      </c>
      <c r="O374">
        <v>2.6</v>
      </c>
      <c r="P37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7.1610000000000014</v>
      </c>
    </row>
    <row r="375" spans="1:16" x14ac:dyDescent="0.3">
      <c r="A375">
        <v>2024</v>
      </c>
      <c r="B375" t="s">
        <v>128</v>
      </c>
      <c r="C375" t="s">
        <v>225</v>
      </c>
      <c r="D375">
        <v>6398</v>
      </c>
      <c r="E375">
        <v>0</v>
      </c>
      <c r="F375">
        <v>0</v>
      </c>
      <c r="G375">
        <v>0.2</v>
      </c>
      <c r="H375">
        <v>5.8</v>
      </c>
      <c r="I375">
        <v>8.5</v>
      </c>
      <c r="J375">
        <v>14</v>
      </c>
      <c r="K375">
        <v>38.4</v>
      </c>
      <c r="L375">
        <v>16.899999999999999</v>
      </c>
      <c r="M375">
        <v>11.3</v>
      </c>
      <c r="N375">
        <v>4.9000000000000004</v>
      </c>
      <c r="O375">
        <v>2.4</v>
      </c>
      <c r="P37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7.0500000000000016</v>
      </c>
    </row>
    <row r="376" spans="1:16" x14ac:dyDescent="0.3">
      <c r="A376">
        <v>2024</v>
      </c>
      <c r="B376" t="s">
        <v>128</v>
      </c>
      <c r="C376" t="s">
        <v>226</v>
      </c>
      <c r="D376">
        <v>5228</v>
      </c>
      <c r="E376">
        <v>0</v>
      </c>
      <c r="F376">
        <v>0</v>
      </c>
      <c r="G376">
        <v>0.2</v>
      </c>
      <c r="H376">
        <v>4.5</v>
      </c>
      <c r="I376">
        <v>6.9</v>
      </c>
      <c r="J376">
        <v>12.9</v>
      </c>
      <c r="K376">
        <v>34.200000000000003</v>
      </c>
      <c r="L376">
        <v>20.6</v>
      </c>
      <c r="M376">
        <v>14.1</v>
      </c>
      <c r="N376">
        <v>6.7</v>
      </c>
      <c r="O376">
        <v>2.7</v>
      </c>
      <c r="P37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7.2859999999999996</v>
      </c>
    </row>
    <row r="377" spans="1:16" x14ac:dyDescent="0.3">
      <c r="A377">
        <v>2024</v>
      </c>
      <c r="B377" t="s">
        <v>171</v>
      </c>
      <c r="C377" t="s">
        <v>224</v>
      </c>
      <c r="D377">
        <v>9804</v>
      </c>
      <c r="E377">
        <v>0.1</v>
      </c>
      <c r="F377">
        <v>0.1</v>
      </c>
      <c r="G377">
        <v>1</v>
      </c>
      <c r="H377">
        <v>1.6</v>
      </c>
      <c r="I377">
        <v>3.9</v>
      </c>
      <c r="J377">
        <v>8.1999999999999993</v>
      </c>
      <c r="K377">
        <v>22.1</v>
      </c>
      <c r="L377">
        <v>27.8</v>
      </c>
      <c r="M377">
        <v>18.7</v>
      </c>
      <c r="N377">
        <v>16.5</v>
      </c>
      <c r="O377">
        <v>17.8</v>
      </c>
      <c r="P37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7.8879999999999999</v>
      </c>
    </row>
    <row r="378" spans="1:16" x14ac:dyDescent="0.3">
      <c r="A378">
        <v>2024</v>
      </c>
      <c r="B378" t="s">
        <v>171</v>
      </c>
      <c r="C378" t="s">
        <v>225</v>
      </c>
      <c r="D378">
        <v>5392</v>
      </c>
      <c r="E378">
        <v>0.1</v>
      </c>
      <c r="F378">
        <v>0.1</v>
      </c>
      <c r="G378">
        <v>1.1000000000000001</v>
      </c>
      <c r="H378">
        <v>1.7</v>
      </c>
      <c r="I378">
        <v>4.4000000000000004</v>
      </c>
      <c r="J378">
        <v>9.1</v>
      </c>
      <c r="K378">
        <v>23.2</v>
      </c>
      <c r="L378">
        <v>27</v>
      </c>
      <c r="M378">
        <v>18.100000000000001</v>
      </c>
      <c r="N378">
        <v>15.2</v>
      </c>
      <c r="O378">
        <v>17.8</v>
      </c>
      <c r="P37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7.802999999999999</v>
      </c>
    </row>
    <row r="379" spans="1:16" x14ac:dyDescent="0.3">
      <c r="A379">
        <v>2024</v>
      </c>
      <c r="B379" t="s">
        <v>171</v>
      </c>
      <c r="C379" t="s">
        <v>226</v>
      </c>
      <c r="D379">
        <v>4412</v>
      </c>
      <c r="E379">
        <v>0.2</v>
      </c>
      <c r="F379">
        <v>0.1</v>
      </c>
      <c r="G379">
        <v>1</v>
      </c>
      <c r="H379">
        <v>1.5</v>
      </c>
      <c r="I379">
        <v>3.4</v>
      </c>
      <c r="J379">
        <v>7.1</v>
      </c>
      <c r="K379">
        <v>20.7</v>
      </c>
      <c r="L379">
        <v>28.7</v>
      </c>
      <c r="M379">
        <v>19.399999999999999</v>
      </c>
      <c r="N379">
        <v>18</v>
      </c>
      <c r="O379">
        <v>17.899999999999999</v>
      </c>
      <c r="P37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7.9810000000000008</v>
      </c>
    </row>
    <row r="380" spans="1:16" x14ac:dyDescent="0.3">
      <c r="A380">
        <v>2024</v>
      </c>
      <c r="B380" t="s">
        <v>172</v>
      </c>
      <c r="C380" t="s">
        <v>224</v>
      </c>
      <c r="D380">
        <v>11890</v>
      </c>
      <c r="E380">
        <v>0.1</v>
      </c>
      <c r="F380">
        <v>0</v>
      </c>
      <c r="G380">
        <v>0.2</v>
      </c>
      <c r="H380">
        <v>0.5</v>
      </c>
      <c r="I380">
        <v>1.4</v>
      </c>
      <c r="J380">
        <v>3.4</v>
      </c>
      <c r="K380">
        <v>11.2</v>
      </c>
      <c r="L380">
        <v>26.8</v>
      </c>
      <c r="M380">
        <v>22.8</v>
      </c>
      <c r="N380">
        <v>33.700000000000003</v>
      </c>
      <c r="O380">
        <v>0.3</v>
      </c>
      <c r="P38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8.6509999999999998</v>
      </c>
    </row>
    <row r="381" spans="1:16" x14ac:dyDescent="0.3">
      <c r="A381">
        <v>2024</v>
      </c>
      <c r="B381" t="s">
        <v>172</v>
      </c>
      <c r="C381" t="s">
        <v>225</v>
      </c>
      <c r="D381">
        <v>6530</v>
      </c>
      <c r="E381">
        <v>0.1</v>
      </c>
      <c r="F381">
        <v>0</v>
      </c>
      <c r="G381">
        <v>0.2</v>
      </c>
      <c r="H381">
        <v>0.6</v>
      </c>
      <c r="I381">
        <v>1.7</v>
      </c>
      <c r="J381">
        <v>3.9</v>
      </c>
      <c r="K381">
        <v>12.1</v>
      </c>
      <c r="L381">
        <v>27.5</v>
      </c>
      <c r="M381">
        <v>22</v>
      </c>
      <c r="N381">
        <v>31.9</v>
      </c>
      <c r="O381">
        <v>0.4</v>
      </c>
      <c r="P38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8.5670000000000002</v>
      </c>
    </row>
    <row r="382" spans="1:16" x14ac:dyDescent="0.3">
      <c r="A382">
        <v>2024</v>
      </c>
      <c r="B382" t="s">
        <v>172</v>
      </c>
      <c r="C382" t="s">
        <v>226</v>
      </c>
      <c r="D382">
        <v>5360</v>
      </c>
      <c r="E382">
        <v>0.1</v>
      </c>
      <c r="F382">
        <v>0</v>
      </c>
      <c r="G382">
        <v>0.2</v>
      </c>
      <c r="H382">
        <v>0.4</v>
      </c>
      <c r="I382">
        <v>1.1000000000000001</v>
      </c>
      <c r="J382">
        <v>2.7</v>
      </c>
      <c r="K382">
        <v>10</v>
      </c>
      <c r="L382">
        <v>25.8</v>
      </c>
      <c r="M382">
        <v>23.7</v>
      </c>
      <c r="N382">
        <v>35.9</v>
      </c>
      <c r="O382">
        <v>0.3</v>
      </c>
      <c r="P38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8.7270000000000003</v>
      </c>
    </row>
    <row r="383" spans="1:16" x14ac:dyDescent="0.3">
      <c r="A383">
        <v>2024</v>
      </c>
      <c r="B383" t="s">
        <v>173</v>
      </c>
      <c r="C383" t="s">
        <v>224</v>
      </c>
      <c r="D383">
        <v>11718</v>
      </c>
      <c r="E383">
        <v>0.1</v>
      </c>
      <c r="F383">
        <v>0</v>
      </c>
      <c r="G383">
        <v>0.3</v>
      </c>
      <c r="H383">
        <v>0.9</v>
      </c>
      <c r="I383">
        <v>2.6</v>
      </c>
      <c r="J383">
        <v>5.0999999999999996</v>
      </c>
      <c r="K383">
        <v>12.7</v>
      </c>
      <c r="L383">
        <v>27</v>
      </c>
      <c r="M383">
        <v>22.6</v>
      </c>
      <c r="N383">
        <v>28.8</v>
      </c>
      <c r="O383">
        <v>1.8</v>
      </c>
      <c r="P38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8.4450000000000003</v>
      </c>
    </row>
    <row r="384" spans="1:16" x14ac:dyDescent="0.3">
      <c r="A384">
        <v>2024</v>
      </c>
      <c r="B384" t="s">
        <v>173</v>
      </c>
      <c r="C384" t="s">
        <v>225</v>
      </c>
      <c r="D384">
        <v>6441</v>
      </c>
      <c r="E384">
        <v>0.1</v>
      </c>
      <c r="F384">
        <v>0</v>
      </c>
      <c r="G384">
        <v>0.4</v>
      </c>
      <c r="H384">
        <v>1</v>
      </c>
      <c r="I384">
        <v>3.1</v>
      </c>
      <c r="J384">
        <v>5.7</v>
      </c>
      <c r="K384">
        <v>13.8</v>
      </c>
      <c r="L384">
        <v>26.9</v>
      </c>
      <c r="M384">
        <v>21.9</v>
      </c>
      <c r="N384">
        <v>27.1</v>
      </c>
      <c r="O384">
        <v>1.8</v>
      </c>
      <c r="P38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8.3490000000000002</v>
      </c>
    </row>
    <row r="385" spans="1:16" x14ac:dyDescent="0.3">
      <c r="A385">
        <v>2024</v>
      </c>
      <c r="B385" t="s">
        <v>173</v>
      </c>
      <c r="C385" t="s">
        <v>226</v>
      </c>
      <c r="D385">
        <v>5277</v>
      </c>
      <c r="E385">
        <v>0.1</v>
      </c>
      <c r="F385">
        <v>0</v>
      </c>
      <c r="G385">
        <v>0.2</v>
      </c>
      <c r="H385">
        <v>0.8</v>
      </c>
      <c r="I385">
        <v>1.9</v>
      </c>
      <c r="J385">
        <v>4.3</v>
      </c>
      <c r="K385">
        <v>11.4</v>
      </c>
      <c r="L385">
        <v>27.1</v>
      </c>
      <c r="M385">
        <v>23.4</v>
      </c>
      <c r="N385">
        <v>30.8</v>
      </c>
      <c r="O385">
        <v>1.8</v>
      </c>
      <c r="P38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8.5440000000000005</v>
      </c>
    </row>
    <row r="386" spans="1:16" x14ac:dyDescent="0.3">
      <c r="A386">
        <v>2024</v>
      </c>
      <c r="B386" t="s">
        <v>174</v>
      </c>
      <c r="C386" t="s">
        <v>224</v>
      </c>
      <c r="D386">
        <v>9328</v>
      </c>
      <c r="E386">
        <v>0.2</v>
      </c>
      <c r="F386">
        <v>0.2</v>
      </c>
      <c r="G386">
        <v>0.8</v>
      </c>
      <c r="H386">
        <v>1.7</v>
      </c>
      <c r="I386">
        <v>3</v>
      </c>
      <c r="J386">
        <v>5.8</v>
      </c>
      <c r="K386">
        <v>13.7</v>
      </c>
      <c r="L386">
        <v>27.3</v>
      </c>
      <c r="M386">
        <v>21.6</v>
      </c>
      <c r="N386">
        <v>25.8</v>
      </c>
      <c r="O386">
        <v>21.8</v>
      </c>
      <c r="P38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8.2629999999999999</v>
      </c>
    </row>
    <row r="387" spans="1:16" x14ac:dyDescent="0.3">
      <c r="A387">
        <v>2024</v>
      </c>
      <c r="B387" t="s">
        <v>174</v>
      </c>
      <c r="C387" t="s">
        <v>225</v>
      </c>
      <c r="D387">
        <v>5117</v>
      </c>
      <c r="E387">
        <v>0.2</v>
      </c>
      <c r="F387">
        <v>0.3</v>
      </c>
      <c r="G387">
        <v>0.9</v>
      </c>
      <c r="H387">
        <v>1.8</v>
      </c>
      <c r="I387">
        <v>3.6</v>
      </c>
      <c r="J387">
        <v>6.5</v>
      </c>
      <c r="K387">
        <v>14.5</v>
      </c>
      <c r="L387">
        <v>27.5</v>
      </c>
      <c r="M387">
        <v>20.100000000000001</v>
      </c>
      <c r="N387">
        <v>24.6</v>
      </c>
      <c r="O387">
        <v>21.9</v>
      </c>
      <c r="P38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8.1610000000000014</v>
      </c>
    </row>
    <row r="388" spans="1:16" x14ac:dyDescent="0.3">
      <c r="A388">
        <v>2024</v>
      </c>
      <c r="B388" t="s">
        <v>174</v>
      </c>
      <c r="C388" t="s">
        <v>226</v>
      </c>
      <c r="D388">
        <v>4211</v>
      </c>
      <c r="E388">
        <v>0.2</v>
      </c>
      <c r="F388">
        <v>0.1</v>
      </c>
      <c r="G388">
        <v>0.8</v>
      </c>
      <c r="H388">
        <v>1.4</v>
      </c>
      <c r="I388">
        <v>2.2999999999999998</v>
      </c>
      <c r="J388">
        <v>4.9000000000000004</v>
      </c>
      <c r="K388">
        <v>12.6</v>
      </c>
      <c r="L388">
        <v>27.1</v>
      </c>
      <c r="M388">
        <v>23.3</v>
      </c>
      <c r="N388">
        <v>27.2</v>
      </c>
      <c r="O388">
        <v>21.7</v>
      </c>
      <c r="P38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8.3600000000000012</v>
      </c>
    </row>
    <row r="389" spans="1:16" x14ac:dyDescent="0.3">
      <c r="A389">
        <v>2024</v>
      </c>
      <c r="B389" t="s">
        <v>175</v>
      </c>
      <c r="C389" t="s">
        <v>224</v>
      </c>
      <c r="D389">
        <v>11646</v>
      </c>
      <c r="E389">
        <v>0</v>
      </c>
      <c r="F389">
        <v>0</v>
      </c>
      <c r="G389">
        <v>0.1</v>
      </c>
      <c r="H389">
        <v>3.2</v>
      </c>
      <c r="I389">
        <v>7.5</v>
      </c>
      <c r="J389">
        <v>13.2</v>
      </c>
      <c r="K389">
        <v>37.5</v>
      </c>
      <c r="L389">
        <v>19.100000000000001</v>
      </c>
      <c r="M389">
        <v>13.1</v>
      </c>
      <c r="N389">
        <v>6.2</v>
      </c>
      <c r="O389">
        <v>2.4</v>
      </c>
      <c r="P38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7.2500000000000009</v>
      </c>
    </row>
    <row r="390" spans="1:16" x14ac:dyDescent="0.3">
      <c r="A390">
        <v>2024</v>
      </c>
      <c r="B390" t="s">
        <v>175</v>
      </c>
      <c r="C390" t="s">
        <v>225</v>
      </c>
      <c r="D390">
        <v>6413</v>
      </c>
      <c r="E390">
        <v>0</v>
      </c>
      <c r="F390">
        <v>0</v>
      </c>
      <c r="G390">
        <v>0.2</v>
      </c>
      <c r="H390">
        <v>3.4</v>
      </c>
      <c r="I390">
        <v>8.3000000000000007</v>
      </c>
      <c r="J390">
        <v>13.7</v>
      </c>
      <c r="K390">
        <v>39.299999999999997</v>
      </c>
      <c r="L390">
        <v>17.8</v>
      </c>
      <c r="M390">
        <v>11.9</v>
      </c>
      <c r="N390">
        <v>5.4</v>
      </c>
      <c r="O390">
        <v>2.2000000000000002</v>
      </c>
      <c r="P39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7.165</v>
      </c>
    </row>
    <row r="391" spans="1:16" x14ac:dyDescent="0.3">
      <c r="A391">
        <v>2024</v>
      </c>
      <c r="B391" t="s">
        <v>175</v>
      </c>
      <c r="C391" t="s">
        <v>226</v>
      </c>
      <c r="D391">
        <v>5233</v>
      </c>
      <c r="E391">
        <v>0</v>
      </c>
      <c r="F391">
        <v>0</v>
      </c>
      <c r="G391">
        <v>0</v>
      </c>
      <c r="H391">
        <v>3</v>
      </c>
      <c r="I391">
        <v>6.5</v>
      </c>
      <c r="J391">
        <v>12.5</v>
      </c>
      <c r="K391">
        <v>35.4</v>
      </c>
      <c r="L391">
        <v>20.7</v>
      </c>
      <c r="M391">
        <v>14.5</v>
      </c>
      <c r="N391">
        <v>7.2</v>
      </c>
      <c r="O391">
        <v>2.6</v>
      </c>
      <c r="P39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7.3539999999999992</v>
      </c>
    </row>
    <row r="392" spans="1:16" x14ac:dyDescent="0.3">
      <c r="A392">
        <v>2024</v>
      </c>
      <c r="B392" t="s">
        <v>182</v>
      </c>
      <c r="C392" t="s">
        <v>224</v>
      </c>
      <c r="D392">
        <v>11842</v>
      </c>
      <c r="E392">
        <v>0.2</v>
      </c>
      <c r="F392">
        <v>0.2</v>
      </c>
      <c r="G392">
        <v>1</v>
      </c>
      <c r="H392">
        <v>2.2999999999999998</v>
      </c>
      <c r="I392">
        <v>5</v>
      </c>
      <c r="J392">
        <v>10.9</v>
      </c>
      <c r="K392">
        <v>25.8</v>
      </c>
      <c r="L392">
        <v>27.6</v>
      </c>
      <c r="M392">
        <v>17.3</v>
      </c>
      <c r="N392">
        <v>9.8000000000000007</v>
      </c>
      <c r="O392">
        <v>0.7</v>
      </c>
      <c r="P39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7.5830000000000002</v>
      </c>
    </row>
    <row r="393" spans="1:16" x14ac:dyDescent="0.3">
      <c r="A393">
        <v>2024</v>
      </c>
      <c r="B393" t="s">
        <v>182</v>
      </c>
      <c r="C393" t="s">
        <v>225</v>
      </c>
      <c r="D393">
        <v>6510</v>
      </c>
      <c r="E393">
        <v>0.2</v>
      </c>
      <c r="F393">
        <v>0.3</v>
      </c>
      <c r="G393">
        <v>1</v>
      </c>
      <c r="H393">
        <v>2.6</v>
      </c>
      <c r="I393">
        <v>5.3</v>
      </c>
      <c r="J393">
        <v>11.5</v>
      </c>
      <c r="K393">
        <v>27</v>
      </c>
      <c r="L393">
        <v>26.9</v>
      </c>
      <c r="M393">
        <v>16.5</v>
      </c>
      <c r="N393">
        <v>8.8000000000000007</v>
      </c>
      <c r="O393">
        <v>0.7</v>
      </c>
      <c r="P39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7.5039999999999996</v>
      </c>
    </row>
    <row r="394" spans="1:16" x14ac:dyDescent="0.3">
      <c r="A394">
        <v>2024</v>
      </c>
      <c r="B394" t="s">
        <v>182</v>
      </c>
      <c r="C394" t="s">
        <v>226</v>
      </c>
      <c r="D394">
        <v>5332</v>
      </c>
      <c r="E394">
        <v>0.2</v>
      </c>
      <c r="F394">
        <v>0.1</v>
      </c>
      <c r="G394">
        <v>0.9</v>
      </c>
      <c r="H394">
        <v>1.9</v>
      </c>
      <c r="I394">
        <v>4.8</v>
      </c>
      <c r="J394">
        <v>10.1</v>
      </c>
      <c r="K394">
        <v>24.3</v>
      </c>
      <c r="L394">
        <v>28.6</v>
      </c>
      <c r="M394">
        <v>18.2</v>
      </c>
      <c r="N394">
        <v>11</v>
      </c>
      <c r="O394">
        <v>0.8</v>
      </c>
      <c r="P39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7.68</v>
      </c>
    </row>
    <row r="395" spans="1:16" x14ac:dyDescent="0.3">
      <c r="A395">
        <v>2024</v>
      </c>
      <c r="B395" t="s">
        <v>183</v>
      </c>
      <c r="C395" t="s">
        <v>224</v>
      </c>
      <c r="D395">
        <v>11859</v>
      </c>
      <c r="E395">
        <v>0.4</v>
      </c>
      <c r="F395">
        <v>0.3</v>
      </c>
      <c r="G395">
        <v>1.7</v>
      </c>
      <c r="H395">
        <v>2.4</v>
      </c>
      <c r="I395">
        <v>6.7</v>
      </c>
      <c r="J395">
        <v>12.5</v>
      </c>
      <c r="K395">
        <v>23.1</v>
      </c>
      <c r="L395">
        <v>27.6</v>
      </c>
      <c r="M395">
        <v>16.7</v>
      </c>
      <c r="N395">
        <v>8.6</v>
      </c>
      <c r="O395">
        <v>0.6</v>
      </c>
      <c r="P39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7.4300000000000006</v>
      </c>
    </row>
    <row r="396" spans="1:16" x14ac:dyDescent="0.3">
      <c r="A396">
        <v>2024</v>
      </c>
      <c r="B396" t="s">
        <v>183</v>
      </c>
      <c r="C396" t="s">
        <v>225</v>
      </c>
      <c r="D396">
        <v>6509</v>
      </c>
      <c r="E396">
        <v>0.5</v>
      </c>
      <c r="F396">
        <v>0.3</v>
      </c>
      <c r="G396">
        <v>1.8</v>
      </c>
      <c r="H396">
        <v>2.9</v>
      </c>
      <c r="I396">
        <v>7.6</v>
      </c>
      <c r="J396">
        <v>14</v>
      </c>
      <c r="K396">
        <v>24</v>
      </c>
      <c r="L396">
        <v>26.7</v>
      </c>
      <c r="M396">
        <v>15.5</v>
      </c>
      <c r="N396">
        <v>6.7</v>
      </c>
      <c r="O396">
        <v>0.7</v>
      </c>
      <c r="P39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7.282</v>
      </c>
    </row>
    <row r="397" spans="1:16" x14ac:dyDescent="0.3">
      <c r="A397">
        <v>2024</v>
      </c>
      <c r="B397" t="s">
        <v>183</v>
      </c>
      <c r="C397" t="s">
        <v>226</v>
      </c>
      <c r="D397">
        <v>5350</v>
      </c>
      <c r="E397">
        <v>0.4</v>
      </c>
      <c r="F397">
        <v>0.3</v>
      </c>
      <c r="G397">
        <v>1.5</v>
      </c>
      <c r="H397">
        <v>1.8</v>
      </c>
      <c r="I397">
        <v>5.6</v>
      </c>
      <c r="J397">
        <v>10.8</v>
      </c>
      <c r="K397">
        <v>21.9</v>
      </c>
      <c r="L397">
        <v>28.6</v>
      </c>
      <c r="M397">
        <v>18.2</v>
      </c>
      <c r="N397">
        <v>10.8</v>
      </c>
      <c r="O397">
        <v>0.5</v>
      </c>
      <c r="P39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7.5940000000000003</v>
      </c>
    </row>
    <row r="398" spans="1:16" x14ac:dyDescent="0.3">
      <c r="A398">
        <v>2024</v>
      </c>
      <c r="B398" t="s">
        <v>184</v>
      </c>
      <c r="C398" t="s">
        <v>224</v>
      </c>
      <c r="D398">
        <v>11864</v>
      </c>
      <c r="E398">
        <v>0.9</v>
      </c>
      <c r="F398">
        <v>1.2</v>
      </c>
      <c r="G398">
        <v>3.2</v>
      </c>
      <c r="H398">
        <v>3.3</v>
      </c>
      <c r="I398">
        <v>7.5</v>
      </c>
      <c r="J398">
        <v>13.2</v>
      </c>
      <c r="K398">
        <v>20.8</v>
      </c>
      <c r="L398">
        <v>25.1</v>
      </c>
      <c r="M398">
        <v>15.8</v>
      </c>
      <c r="N398">
        <v>9.1</v>
      </c>
      <c r="O398">
        <v>0.6</v>
      </c>
      <c r="P39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7.2240000000000002</v>
      </c>
    </row>
    <row r="399" spans="1:16" x14ac:dyDescent="0.3">
      <c r="A399">
        <v>2024</v>
      </c>
      <c r="B399" t="s">
        <v>184</v>
      </c>
      <c r="C399" t="s">
        <v>225</v>
      </c>
      <c r="D399">
        <v>6517</v>
      </c>
      <c r="E399">
        <v>1</v>
      </c>
      <c r="F399">
        <v>1.5</v>
      </c>
      <c r="G399">
        <v>3.8</v>
      </c>
      <c r="H399">
        <v>3.6</v>
      </c>
      <c r="I399">
        <v>8.6</v>
      </c>
      <c r="J399">
        <v>14.8</v>
      </c>
      <c r="K399">
        <v>21.1</v>
      </c>
      <c r="L399">
        <v>23.5</v>
      </c>
      <c r="M399">
        <v>14.8</v>
      </c>
      <c r="N399">
        <v>7.2</v>
      </c>
      <c r="O399">
        <v>0.6</v>
      </c>
      <c r="P39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7.0249999999999995</v>
      </c>
    </row>
    <row r="400" spans="1:16" x14ac:dyDescent="0.3">
      <c r="A400">
        <v>2024</v>
      </c>
      <c r="B400" t="s">
        <v>184</v>
      </c>
      <c r="C400" t="s">
        <v>226</v>
      </c>
      <c r="D400">
        <v>5347</v>
      </c>
      <c r="E400">
        <v>0.7</v>
      </c>
      <c r="F400">
        <v>0.8</v>
      </c>
      <c r="G400">
        <v>2.4</v>
      </c>
      <c r="H400">
        <v>3</v>
      </c>
      <c r="I400">
        <v>6.2</v>
      </c>
      <c r="J400">
        <v>11.2</v>
      </c>
      <c r="K400">
        <v>20.3</v>
      </c>
      <c r="L400">
        <v>27</v>
      </c>
      <c r="M400">
        <v>17.100000000000001</v>
      </c>
      <c r="N400">
        <v>11.3</v>
      </c>
      <c r="O400">
        <v>0.5</v>
      </c>
      <c r="P40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7.4470000000000001</v>
      </c>
    </row>
    <row r="401" spans="1:16" x14ac:dyDescent="0.3">
      <c r="A401">
        <v>2024</v>
      </c>
      <c r="B401" t="s">
        <v>185</v>
      </c>
      <c r="C401" t="s">
        <v>224</v>
      </c>
      <c r="D401">
        <v>11867</v>
      </c>
      <c r="E401">
        <v>1.3</v>
      </c>
      <c r="F401">
        <v>1.5</v>
      </c>
      <c r="G401">
        <v>3.7</v>
      </c>
      <c r="H401">
        <v>5</v>
      </c>
      <c r="I401">
        <v>9</v>
      </c>
      <c r="J401">
        <v>11.7</v>
      </c>
      <c r="K401">
        <v>19.100000000000001</v>
      </c>
      <c r="L401">
        <v>23.5</v>
      </c>
      <c r="M401">
        <v>14</v>
      </c>
      <c r="N401">
        <v>11.2</v>
      </c>
      <c r="O401">
        <v>0.5</v>
      </c>
      <c r="P40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7.1029999999999998</v>
      </c>
    </row>
    <row r="402" spans="1:16" x14ac:dyDescent="0.3">
      <c r="A402">
        <v>2024</v>
      </c>
      <c r="B402" t="s">
        <v>185</v>
      </c>
      <c r="C402" t="s">
        <v>225</v>
      </c>
      <c r="D402">
        <v>6516</v>
      </c>
      <c r="E402">
        <v>1.4</v>
      </c>
      <c r="F402">
        <v>1.6</v>
      </c>
      <c r="G402">
        <v>4.2</v>
      </c>
      <c r="H402">
        <v>5.2</v>
      </c>
      <c r="I402">
        <v>9.6</v>
      </c>
      <c r="J402">
        <v>13</v>
      </c>
      <c r="K402">
        <v>19.899999999999999</v>
      </c>
      <c r="L402">
        <v>22.4</v>
      </c>
      <c r="M402">
        <v>12.8</v>
      </c>
      <c r="N402">
        <v>9.8000000000000007</v>
      </c>
      <c r="O402">
        <v>0.6</v>
      </c>
      <c r="P40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6.956999999999999</v>
      </c>
    </row>
    <row r="403" spans="1:16" x14ac:dyDescent="0.3">
      <c r="A403">
        <v>2024</v>
      </c>
      <c r="B403" t="s">
        <v>185</v>
      </c>
      <c r="C403" t="s">
        <v>226</v>
      </c>
      <c r="D403">
        <v>5351</v>
      </c>
      <c r="E403">
        <v>1.2</v>
      </c>
      <c r="F403">
        <v>1.4</v>
      </c>
      <c r="G403">
        <v>3.1</v>
      </c>
      <c r="H403">
        <v>4.7</v>
      </c>
      <c r="I403">
        <v>8.1999999999999993</v>
      </c>
      <c r="J403">
        <v>10.199999999999999</v>
      </c>
      <c r="K403">
        <v>18.100000000000001</v>
      </c>
      <c r="L403">
        <v>24.8</v>
      </c>
      <c r="M403">
        <v>15.5</v>
      </c>
      <c r="N403">
        <v>12.8</v>
      </c>
      <c r="O403">
        <v>0.4</v>
      </c>
      <c r="P40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7.269000000000001</v>
      </c>
    </row>
    <row r="404" spans="1:16" x14ac:dyDescent="0.3">
      <c r="A404">
        <v>2024</v>
      </c>
      <c r="B404" t="s">
        <v>186</v>
      </c>
      <c r="C404" t="s">
        <v>224</v>
      </c>
      <c r="D404">
        <v>11824</v>
      </c>
      <c r="E404">
        <v>0.3</v>
      </c>
      <c r="F404">
        <v>0.3</v>
      </c>
      <c r="G404">
        <v>1.6</v>
      </c>
      <c r="H404">
        <v>2.8</v>
      </c>
      <c r="I404">
        <v>5.8</v>
      </c>
      <c r="J404">
        <v>10.7</v>
      </c>
      <c r="K404">
        <v>23.1</v>
      </c>
      <c r="L404">
        <v>29.3</v>
      </c>
      <c r="M404">
        <v>15.1</v>
      </c>
      <c r="N404">
        <v>10.9</v>
      </c>
      <c r="O404">
        <v>0.9</v>
      </c>
      <c r="P40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7.5109999999999992</v>
      </c>
    </row>
    <row r="405" spans="1:16" x14ac:dyDescent="0.3">
      <c r="A405">
        <v>2024</v>
      </c>
      <c r="B405" t="s">
        <v>186</v>
      </c>
      <c r="C405" t="s">
        <v>225</v>
      </c>
      <c r="D405">
        <v>6499</v>
      </c>
      <c r="E405">
        <v>0.3</v>
      </c>
      <c r="F405">
        <v>0.5</v>
      </c>
      <c r="G405">
        <v>2.4</v>
      </c>
      <c r="H405">
        <v>3.6</v>
      </c>
      <c r="I405">
        <v>7</v>
      </c>
      <c r="J405">
        <v>12.6</v>
      </c>
      <c r="K405">
        <v>24.8</v>
      </c>
      <c r="L405">
        <v>27.3</v>
      </c>
      <c r="M405">
        <v>13.7</v>
      </c>
      <c r="N405">
        <v>7.8</v>
      </c>
      <c r="O405">
        <v>0.9</v>
      </c>
      <c r="P40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7.2679999999999998</v>
      </c>
    </row>
    <row r="406" spans="1:16" x14ac:dyDescent="0.3">
      <c r="A406">
        <v>2024</v>
      </c>
      <c r="B406" t="s">
        <v>186</v>
      </c>
      <c r="C406" t="s">
        <v>226</v>
      </c>
      <c r="D406">
        <v>5325</v>
      </c>
      <c r="E406">
        <v>0.3</v>
      </c>
      <c r="F406">
        <v>0.1</v>
      </c>
      <c r="G406">
        <v>0.8</v>
      </c>
      <c r="H406">
        <v>1.8</v>
      </c>
      <c r="I406">
        <v>4.3</v>
      </c>
      <c r="J406">
        <v>8.5</v>
      </c>
      <c r="K406">
        <v>21</v>
      </c>
      <c r="L406">
        <v>31.8</v>
      </c>
      <c r="M406">
        <v>16.8</v>
      </c>
      <c r="N406">
        <v>14.6</v>
      </c>
      <c r="O406">
        <v>0.9</v>
      </c>
      <c r="P40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7.8120000000000003</v>
      </c>
    </row>
    <row r="407" spans="1:16" x14ac:dyDescent="0.3">
      <c r="A407">
        <v>2024</v>
      </c>
      <c r="B407" t="s">
        <v>187</v>
      </c>
      <c r="C407" t="s">
        <v>224</v>
      </c>
      <c r="D407">
        <v>10153</v>
      </c>
      <c r="E407">
        <v>8.1</v>
      </c>
      <c r="F407">
        <v>3.2</v>
      </c>
      <c r="G407">
        <v>10.1</v>
      </c>
      <c r="H407">
        <v>9.6999999999999993</v>
      </c>
      <c r="I407">
        <v>10.4</v>
      </c>
      <c r="J407">
        <v>10.1</v>
      </c>
      <c r="K407">
        <v>17.3</v>
      </c>
      <c r="L407">
        <v>19.7</v>
      </c>
      <c r="M407">
        <v>8.3000000000000007</v>
      </c>
      <c r="N407">
        <v>3.3</v>
      </c>
      <c r="O407">
        <v>14.9</v>
      </c>
      <c r="P40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5.8259999999999996</v>
      </c>
    </row>
    <row r="408" spans="1:16" x14ac:dyDescent="0.3">
      <c r="A408">
        <v>2024</v>
      </c>
      <c r="B408" t="s">
        <v>187</v>
      </c>
      <c r="C408" t="s">
        <v>225</v>
      </c>
      <c r="D408">
        <v>5518</v>
      </c>
      <c r="E408">
        <v>8.6</v>
      </c>
      <c r="F408">
        <v>3.9</v>
      </c>
      <c r="G408">
        <v>10.9</v>
      </c>
      <c r="H408">
        <v>9.5</v>
      </c>
      <c r="I408">
        <v>10.9</v>
      </c>
      <c r="J408">
        <v>10.5</v>
      </c>
      <c r="K408">
        <v>16.2</v>
      </c>
      <c r="L408">
        <v>18.7</v>
      </c>
      <c r="M408">
        <v>7.7</v>
      </c>
      <c r="N408">
        <v>3</v>
      </c>
      <c r="O408">
        <v>15.8</v>
      </c>
      <c r="P40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5.6689999999999996</v>
      </c>
    </row>
    <row r="409" spans="1:16" x14ac:dyDescent="0.3">
      <c r="A409">
        <v>2024</v>
      </c>
      <c r="B409" t="s">
        <v>187</v>
      </c>
      <c r="C409" t="s">
        <v>226</v>
      </c>
      <c r="D409">
        <v>4635</v>
      </c>
      <c r="E409">
        <v>7.4</v>
      </c>
      <c r="F409">
        <v>2.2999999999999998</v>
      </c>
      <c r="G409">
        <v>9</v>
      </c>
      <c r="H409">
        <v>9.8000000000000007</v>
      </c>
      <c r="I409">
        <v>9.6999999999999993</v>
      </c>
      <c r="J409">
        <v>9.6999999999999993</v>
      </c>
      <c r="K409">
        <v>18.600000000000001</v>
      </c>
      <c r="L409">
        <v>20.8</v>
      </c>
      <c r="M409">
        <v>9</v>
      </c>
      <c r="N409">
        <v>3.6</v>
      </c>
      <c r="O409">
        <v>13.8</v>
      </c>
      <c r="P40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5.9850000000000003</v>
      </c>
    </row>
    <row r="410" spans="1:16" x14ac:dyDescent="0.3">
      <c r="A410">
        <v>2024</v>
      </c>
      <c r="B410" t="s">
        <v>188</v>
      </c>
      <c r="C410" t="s">
        <v>224</v>
      </c>
      <c r="D410">
        <v>10238</v>
      </c>
      <c r="E410">
        <v>9.6</v>
      </c>
      <c r="F410">
        <v>4.5999999999999996</v>
      </c>
      <c r="G410">
        <v>12.4</v>
      </c>
      <c r="H410">
        <v>8.8000000000000007</v>
      </c>
      <c r="I410">
        <v>9.5</v>
      </c>
      <c r="J410">
        <v>9.1999999999999993</v>
      </c>
      <c r="K410">
        <v>15.1</v>
      </c>
      <c r="L410">
        <v>17.7</v>
      </c>
      <c r="M410">
        <v>7.7</v>
      </c>
      <c r="N410">
        <v>5.3</v>
      </c>
      <c r="O410">
        <v>14.2</v>
      </c>
      <c r="P41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5.6349999999999998</v>
      </c>
    </row>
    <row r="411" spans="1:16" x14ac:dyDescent="0.3">
      <c r="A411">
        <v>2024</v>
      </c>
      <c r="B411" t="s">
        <v>188</v>
      </c>
      <c r="C411" t="s">
        <v>225</v>
      </c>
      <c r="D411">
        <v>5588</v>
      </c>
      <c r="E411">
        <v>9.6</v>
      </c>
      <c r="F411">
        <v>5.5</v>
      </c>
      <c r="G411">
        <v>13.3</v>
      </c>
      <c r="H411">
        <v>9.1</v>
      </c>
      <c r="I411">
        <v>10.3</v>
      </c>
      <c r="J411">
        <v>9.3000000000000007</v>
      </c>
      <c r="K411">
        <v>14.8</v>
      </c>
      <c r="L411">
        <v>16.600000000000001</v>
      </c>
      <c r="M411">
        <v>6.6</v>
      </c>
      <c r="N411">
        <v>4.9000000000000004</v>
      </c>
      <c r="O411">
        <v>14.8</v>
      </c>
      <c r="P41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5.49</v>
      </c>
    </row>
    <row r="412" spans="1:16" x14ac:dyDescent="0.3">
      <c r="A412">
        <v>2024</v>
      </c>
      <c r="B412" t="s">
        <v>188</v>
      </c>
      <c r="C412" t="s">
        <v>226</v>
      </c>
      <c r="D412">
        <v>4650</v>
      </c>
      <c r="E412">
        <v>9.5</v>
      </c>
      <c r="F412">
        <v>3.6</v>
      </c>
      <c r="G412">
        <v>11.3</v>
      </c>
      <c r="H412">
        <v>8.5</v>
      </c>
      <c r="I412">
        <v>8.5</v>
      </c>
      <c r="J412">
        <v>9.1999999999999993</v>
      </c>
      <c r="K412">
        <v>15.6</v>
      </c>
      <c r="L412">
        <v>19</v>
      </c>
      <c r="M412">
        <v>9</v>
      </c>
      <c r="N412">
        <v>5.8</v>
      </c>
      <c r="O412">
        <v>13.5</v>
      </c>
      <c r="P41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5.8250000000000011</v>
      </c>
    </row>
    <row r="413" spans="1:16" x14ac:dyDescent="0.3">
      <c r="A413">
        <v>2024</v>
      </c>
      <c r="B413" t="s">
        <v>189</v>
      </c>
      <c r="C413" t="s">
        <v>224</v>
      </c>
      <c r="D413">
        <v>11727</v>
      </c>
      <c r="E413">
        <v>0.7</v>
      </c>
      <c r="F413">
        <v>0.4</v>
      </c>
      <c r="G413">
        <v>1.5</v>
      </c>
      <c r="H413">
        <v>3.4</v>
      </c>
      <c r="I413">
        <v>6.5</v>
      </c>
      <c r="J413">
        <v>12.1</v>
      </c>
      <c r="K413">
        <v>22.4</v>
      </c>
      <c r="L413">
        <v>26.8</v>
      </c>
      <c r="M413">
        <v>15.3</v>
      </c>
      <c r="N413">
        <v>10.9</v>
      </c>
      <c r="O413">
        <v>1.7</v>
      </c>
      <c r="P41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7.4260000000000002</v>
      </c>
    </row>
    <row r="414" spans="1:16" x14ac:dyDescent="0.3">
      <c r="A414">
        <v>2024</v>
      </c>
      <c r="B414" t="s">
        <v>189</v>
      </c>
      <c r="C414" t="s">
        <v>225</v>
      </c>
      <c r="D414">
        <v>6433</v>
      </c>
      <c r="E414">
        <v>0.8</v>
      </c>
      <c r="F414">
        <v>0.5</v>
      </c>
      <c r="G414">
        <v>1.8</v>
      </c>
      <c r="H414">
        <v>3.7</v>
      </c>
      <c r="I414">
        <v>6.8</v>
      </c>
      <c r="J414">
        <v>13.7</v>
      </c>
      <c r="K414">
        <v>23</v>
      </c>
      <c r="L414">
        <v>25.3</v>
      </c>
      <c r="M414">
        <v>14.3</v>
      </c>
      <c r="N414">
        <v>9.9</v>
      </c>
      <c r="O414">
        <v>1.9</v>
      </c>
      <c r="P41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7.2930000000000001</v>
      </c>
    </row>
    <row r="415" spans="1:16" x14ac:dyDescent="0.3">
      <c r="A415">
        <v>2024</v>
      </c>
      <c r="B415" t="s">
        <v>189</v>
      </c>
      <c r="C415" t="s">
        <v>226</v>
      </c>
      <c r="D415">
        <v>5294</v>
      </c>
      <c r="E415">
        <v>0.5</v>
      </c>
      <c r="F415">
        <v>0.3</v>
      </c>
      <c r="G415">
        <v>1.1000000000000001</v>
      </c>
      <c r="H415">
        <v>3</v>
      </c>
      <c r="I415">
        <v>6.1</v>
      </c>
      <c r="J415">
        <v>10</v>
      </c>
      <c r="K415">
        <v>21.7</v>
      </c>
      <c r="L415">
        <v>28.6</v>
      </c>
      <c r="M415">
        <v>16.600000000000001</v>
      </c>
      <c r="N415">
        <v>12.1</v>
      </c>
      <c r="O415">
        <v>1.5</v>
      </c>
      <c r="P41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7.58</v>
      </c>
    </row>
    <row r="416" spans="1:16" x14ac:dyDescent="0.3">
      <c r="A416">
        <v>2024</v>
      </c>
      <c r="B416" t="s">
        <v>190</v>
      </c>
      <c r="C416" t="s">
        <v>224</v>
      </c>
      <c r="D416">
        <v>11595</v>
      </c>
      <c r="E416">
        <v>0.9</v>
      </c>
      <c r="F416">
        <v>0.8</v>
      </c>
      <c r="G416">
        <v>3.6</v>
      </c>
      <c r="H416">
        <v>4.5</v>
      </c>
      <c r="I416">
        <v>8</v>
      </c>
      <c r="J416">
        <v>12.4</v>
      </c>
      <c r="K416">
        <v>22.8</v>
      </c>
      <c r="L416">
        <v>24.8</v>
      </c>
      <c r="M416">
        <v>13.5</v>
      </c>
      <c r="N416">
        <v>8.6999999999999993</v>
      </c>
      <c r="O416">
        <v>2.8</v>
      </c>
      <c r="P41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7.1219999999999999</v>
      </c>
    </row>
    <row r="417" spans="1:16" x14ac:dyDescent="0.3">
      <c r="A417">
        <v>2024</v>
      </c>
      <c r="B417" t="s">
        <v>190</v>
      </c>
      <c r="C417" t="s">
        <v>225</v>
      </c>
      <c r="D417">
        <v>6402</v>
      </c>
      <c r="E417">
        <v>1.1000000000000001</v>
      </c>
      <c r="F417">
        <v>1</v>
      </c>
      <c r="G417">
        <v>3.7</v>
      </c>
      <c r="H417">
        <v>4.9000000000000004</v>
      </c>
      <c r="I417">
        <v>9.3000000000000007</v>
      </c>
      <c r="J417">
        <v>13.3</v>
      </c>
      <c r="K417">
        <v>23.9</v>
      </c>
      <c r="L417">
        <v>23.6</v>
      </c>
      <c r="M417">
        <v>12.1</v>
      </c>
      <c r="N417">
        <v>7.2</v>
      </c>
      <c r="O417">
        <v>2.2999999999999998</v>
      </c>
      <c r="P41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6.9709999999999992</v>
      </c>
    </row>
    <row r="418" spans="1:16" x14ac:dyDescent="0.3">
      <c r="A418">
        <v>2024</v>
      </c>
      <c r="B418" t="s">
        <v>190</v>
      </c>
      <c r="C418" t="s">
        <v>226</v>
      </c>
      <c r="D418">
        <v>5193</v>
      </c>
      <c r="E418">
        <v>0.8</v>
      </c>
      <c r="F418">
        <v>0.6</v>
      </c>
      <c r="G418">
        <v>3.4</v>
      </c>
      <c r="H418">
        <v>3.9</v>
      </c>
      <c r="I418">
        <v>6.5</v>
      </c>
      <c r="J418">
        <v>11.4</v>
      </c>
      <c r="K418">
        <v>21.4</v>
      </c>
      <c r="L418">
        <v>26.2</v>
      </c>
      <c r="M418">
        <v>15.3</v>
      </c>
      <c r="N418">
        <v>10.5</v>
      </c>
      <c r="O418">
        <v>3.4</v>
      </c>
      <c r="P41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7.3080000000000007</v>
      </c>
    </row>
    <row r="419" spans="1:16" x14ac:dyDescent="0.3">
      <c r="A419">
        <v>2024</v>
      </c>
      <c r="B419" t="s">
        <v>191</v>
      </c>
      <c r="C419" t="s">
        <v>224</v>
      </c>
      <c r="D419">
        <v>11372</v>
      </c>
      <c r="E419">
        <v>0.2</v>
      </c>
      <c r="F419">
        <v>0.4</v>
      </c>
      <c r="G419">
        <v>1.2</v>
      </c>
      <c r="H419">
        <v>2.7</v>
      </c>
      <c r="I419">
        <v>6.2</v>
      </c>
      <c r="J419">
        <v>10.4</v>
      </c>
      <c r="K419">
        <v>20.8</v>
      </c>
      <c r="L419">
        <v>29.1</v>
      </c>
      <c r="M419">
        <v>17.5</v>
      </c>
      <c r="N419">
        <v>11.7</v>
      </c>
      <c r="O419">
        <v>4.7</v>
      </c>
      <c r="P41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7.617</v>
      </c>
    </row>
    <row r="420" spans="1:16" x14ac:dyDescent="0.3">
      <c r="A420">
        <v>2024</v>
      </c>
      <c r="B420" t="s">
        <v>191</v>
      </c>
      <c r="C420" t="s">
        <v>225</v>
      </c>
      <c r="D420">
        <v>6269</v>
      </c>
      <c r="E420">
        <v>0.2</v>
      </c>
      <c r="F420">
        <v>0.4</v>
      </c>
      <c r="G420">
        <v>1.3</v>
      </c>
      <c r="H420">
        <v>2.9</v>
      </c>
      <c r="I420">
        <v>6.7</v>
      </c>
      <c r="J420">
        <v>11.5</v>
      </c>
      <c r="K420">
        <v>21.9</v>
      </c>
      <c r="L420">
        <v>28.9</v>
      </c>
      <c r="M420">
        <v>16.399999999999999</v>
      </c>
      <c r="N420">
        <v>10</v>
      </c>
      <c r="O420">
        <v>4.4000000000000004</v>
      </c>
      <c r="P42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7.5110000000000001</v>
      </c>
    </row>
    <row r="421" spans="1:16" x14ac:dyDescent="0.3">
      <c r="A421">
        <v>2024</v>
      </c>
      <c r="B421" t="s">
        <v>191</v>
      </c>
      <c r="C421" t="s">
        <v>226</v>
      </c>
      <c r="D421">
        <v>5103</v>
      </c>
      <c r="E421">
        <v>0.2</v>
      </c>
      <c r="F421">
        <v>0.4</v>
      </c>
      <c r="G421">
        <v>1</v>
      </c>
      <c r="H421">
        <v>2.2999999999999998</v>
      </c>
      <c r="I421">
        <v>5.6</v>
      </c>
      <c r="J421">
        <v>9.1</v>
      </c>
      <c r="K421">
        <v>19.600000000000001</v>
      </c>
      <c r="L421">
        <v>29.4</v>
      </c>
      <c r="M421">
        <v>18.8</v>
      </c>
      <c r="N421">
        <v>13.7</v>
      </c>
      <c r="O421">
        <v>5.0999999999999996</v>
      </c>
      <c r="P42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7.7440000000000007</v>
      </c>
    </row>
    <row r="422" spans="1:16" x14ac:dyDescent="0.3">
      <c r="A422">
        <v>2024</v>
      </c>
      <c r="B422" t="s">
        <v>192</v>
      </c>
      <c r="C422" t="s">
        <v>224</v>
      </c>
      <c r="D422">
        <v>11575</v>
      </c>
      <c r="E422">
        <v>0.9</v>
      </c>
      <c r="F422">
        <v>0.7</v>
      </c>
      <c r="G422">
        <v>2.9</v>
      </c>
      <c r="H422">
        <v>3.8</v>
      </c>
      <c r="I422">
        <v>6.9</v>
      </c>
      <c r="J422">
        <v>10.6</v>
      </c>
      <c r="K422">
        <v>21.2</v>
      </c>
      <c r="L422">
        <v>26.3</v>
      </c>
      <c r="M422">
        <v>15.7</v>
      </c>
      <c r="N422">
        <v>10.9</v>
      </c>
      <c r="O422">
        <v>3</v>
      </c>
      <c r="P42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7.3339999999999996</v>
      </c>
    </row>
    <row r="423" spans="1:16" x14ac:dyDescent="0.3">
      <c r="A423">
        <v>2024</v>
      </c>
      <c r="B423" t="s">
        <v>192</v>
      </c>
      <c r="C423" t="s">
        <v>225</v>
      </c>
      <c r="D423">
        <v>6383</v>
      </c>
      <c r="E423">
        <v>1</v>
      </c>
      <c r="F423">
        <v>0.9</v>
      </c>
      <c r="G423">
        <v>3</v>
      </c>
      <c r="H423">
        <v>4.4000000000000004</v>
      </c>
      <c r="I423">
        <v>7.9</v>
      </c>
      <c r="J423">
        <v>11.3</v>
      </c>
      <c r="K423">
        <v>22.3</v>
      </c>
      <c r="L423">
        <v>25</v>
      </c>
      <c r="M423">
        <v>15.1</v>
      </c>
      <c r="N423">
        <v>9.1</v>
      </c>
      <c r="O423">
        <v>2.6</v>
      </c>
      <c r="P42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7.1970000000000001</v>
      </c>
    </row>
    <row r="424" spans="1:16" x14ac:dyDescent="0.3">
      <c r="A424">
        <v>2024</v>
      </c>
      <c r="B424" t="s">
        <v>192</v>
      </c>
      <c r="C424" t="s">
        <v>226</v>
      </c>
      <c r="D424">
        <v>5192</v>
      </c>
      <c r="E424">
        <v>0.8</v>
      </c>
      <c r="F424">
        <v>0.4</v>
      </c>
      <c r="G424">
        <v>2.9</v>
      </c>
      <c r="H424">
        <v>3.2</v>
      </c>
      <c r="I424">
        <v>5.7</v>
      </c>
      <c r="J424">
        <v>9.6999999999999993</v>
      </c>
      <c r="K424">
        <v>19.8</v>
      </c>
      <c r="L424">
        <v>28</v>
      </c>
      <c r="M424">
        <v>16.5</v>
      </c>
      <c r="N424">
        <v>13</v>
      </c>
      <c r="O424">
        <v>3.4</v>
      </c>
      <c r="P42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7.5090000000000003</v>
      </c>
    </row>
    <row r="425" spans="1:16" x14ac:dyDescent="0.3">
      <c r="A425">
        <v>2024</v>
      </c>
      <c r="B425" t="s">
        <v>193</v>
      </c>
      <c r="C425" t="s">
        <v>224</v>
      </c>
      <c r="D425">
        <v>11415</v>
      </c>
      <c r="E425">
        <v>0.4</v>
      </c>
      <c r="F425">
        <v>0.5</v>
      </c>
      <c r="G425">
        <v>1.7</v>
      </c>
      <c r="H425">
        <v>3.2</v>
      </c>
      <c r="I425">
        <v>6.9</v>
      </c>
      <c r="J425">
        <v>10.6</v>
      </c>
      <c r="K425">
        <v>20</v>
      </c>
      <c r="L425">
        <v>27.2</v>
      </c>
      <c r="M425">
        <v>17.3</v>
      </c>
      <c r="N425">
        <v>12.2</v>
      </c>
      <c r="O425">
        <v>4.3</v>
      </c>
      <c r="P42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7.5270000000000001</v>
      </c>
    </row>
    <row r="426" spans="1:16" x14ac:dyDescent="0.3">
      <c r="A426">
        <v>2024</v>
      </c>
      <c r="B426" t="s">
        <v>193</v>
      </c>
      <c r="C426" t="s">
        <v>225</v>
      </c>
      <c r="D426">
        <v>6290</v>
      </c>
      <c r="E426">
        <v>0.4</v>
      </c>
      <c r="F426">
        <v>0.5</v>
      </c>
      <c r="G426">
        <v>1.5</v>
      </c>
      <c r="H426">
        <v>3.6</v>
      </c>
      <c r="I426">
        <v>7.3</v>
      </c>
      <c r="J426">
        <v>11.7</v>
      </c>
      <c r="K426">
        <v>20.6</v>
      </c>
      <c r="L426">
        <v>27</v>
      </c>
      <c r="M426">
        <v>16.600000000000001</v>
      </c>
      <c r="N426">
        <v>10.8</v>
      </c>
      <c r="O426">
        <v>4.0999999999999996</v>
      </c>
      <c r="P42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7.4459999999999997</v>
      </c>
    </row>
    <row r="427" spans="1:16" x14ac:dyDescent="0.3">
      <c r="A427">
        <v>2024</v>
      </c>
      <c r="B427" t="s">
        <v>193</v>
      </c>
      <c r="C427" t="s">
        <v>226</v>
      </c>
      <c r="D427">
        <v>5125</v>
      </c>
      <c r="E427">
        <v>0.3</v>
      </c>
      <c r="F427">
        <v>0.5</v>
      </c>
      <c r="G427">
        <v>1.9</v>
      </c>
      <c r="H427">
        <v>2.7</v>
      </c>
      <c r="I427">
        <v>6.4</v>
      </c>
      <c r="J427">
        <v>9.4</v>
      </c>
      <c r="K427">
        <v>19.3</v>
      </c>
      <c r="L427">
        <v>27.5</v>
      </c>
      <c r="M427">
        <v>18.100000000000001</v>
      </c>
      <c r="N427">
        <v>14</v>
      </c>
      <c r="O427">
        <v>4.7</v>
      </c>
      <c r="P42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7.6420000000000012</v>
      </c>
    </row>
    <row r="428" spans="1:16" x14ac:dyDescent="0.3">
      <c r="A428">
        <v>2024</v>
      </c>
      <c r="B428" t="s">
        <v>194</v>
      </c>
      <c r="C428" t="s">
        <v>224</v>
      </c>
      <c r="D428">
        <v>10154</v>
      </c>
      <c r="E428">
        <v>0.1</v>
      </c>
      <c r="F428">
        <v>0.1</v>
      </c>
      <c r="G428">
        <v>0.3</v>
      </c>
      <c r="H428">
        <v>1.4</v>
      </c>
      <c r="I428">
        <v>3.5</v>
      </c>
      <c r="J428">
        <v>6.8</v>
      </c>
      <c r="K428">
        <v>19.3</v>
      </c>
      <c r="L428">
        <v>31.8</v>
      </c>
      <c r="M428">
        <v>21.3</v>
      </c>
      <c r="N428">
        <v>15.5</v>
      </c>
      <c r="O428">
        <v>14.9</v>
      </c>
      <c r="P42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8.0129999999999999</v>
      </c>
    </row>
    <row r="429" spans="1:16" x14ac:dyDescent="0.3">
      <c r="A429">
        <v>2024</v>
      </c>
      <c r="B429" t="s">
        <v>194</v>
      </c>
      <c r="C429" t="s">
        <v>225</v>
      </c>
      <c r="D429">
        <v>5568</v>
      </c>
      <c r="E429">
        <v>0.1</v>
      </c>
      <c r="F429">
        <v>0.2</v>
      </c>
      <c r="G429">
        <v>0.4</v>
      </c>
      <c r="H429">
        <v>1.6</v>
      </c>
      <c r="I429">
        <v>4.0999999999999996</v>
      </c>
      <c r="J429">
        <v>7.9</v>
      </c>
      <c r="K429">
        <v>21.2</v>
      </c>
      <c r="L429">
        <v>31.1</v>
      </c>
      <c r="M429">
        <v>20</v>
      </c>
      <c r="N429">
        <v>13.3</v>
      </c>
      <c r="O429">
        <v>15.1</v>
      </c>
      <c r="P42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7.8619999999999992</v>
      </c>
    </row>
    <row r="430" spans="1:16" x14ac:dyDescent="0.3">
      <c r="A430">
        <v>2024</v>
      </c>
      <c r="B430" t="s">
        <v>194</v>
      </c>
      <c r="C430" t="s">
        <v>226</v>
      </c>
      <c r="D430">
        <v>4586</v>
      </c>
      <c r="E430">
        <v>0.1</v>
      </c>
      <c r="F430">
        <v>0.1</v>
      </c>
      <c r="G430">
        <v>0.2</v>
      </c>
      <c r="H430">
        <v>1.2</v>
      </c>
      <c r="I430">
        <v>2.7</v>
      </c>
      <c r="J430">
        <v>5.3</v>
      </c>
      <c r="K430">
        <v>17.100000000000001</v>
      </c>
      <c r="L430">
        <v>32.6</v>
      </c>
      <c r="M430">
        <v>22.8</v>
      </c>
      <c r="N430">
        <v>18</v>
      </c>
      <c r="O430">
        <v>14.7</v>
      </c>
      <c r="P43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8.1670000000000016</v>
      </c>
    </row>
    <row r="431" spans="1:16" x14ac:dyDescent="0.3">
      <c r="A431">
        <v>2024</v>
      </c>
      <c r="B431" t="s">
        <v>195</v>
      </c>
      <c r="C431" t="s">
        <v>224</v>
      </c>
      <c r="D431">
        <v>10707</v>
      </c>
      <c r="E431">
        <v>0.1</v>
      </c>
      <c r="F431">
        <v>0.1</v>
      </c>
      <c r="G431">
        <v>0.4</v>
      </c>
      <c r="H431">
        <v>1.5</v>
      </c>
      <c r="I431">
        <v>3.4</v>
      </c>
      <c r="J431">
        <v>6.9</v>
      </c>
      <c r="K431">
        <v>20.8</v>
      </c>
      <c r="L431">
        <v>32.700000000000003</v>
      </c>
      <c r="M431">
        <v>20</v>
      </c>
      <c r="N431">
        <v>14.1</v>
      </c>
      <c r="O431">
        <v>10.3</v>
      </c>
      <c r="P43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7.9409999999999998</v>
      </c>
    </row>
    <row r="432" spans="1:16" x14ac:dyDescent="0.3">
      <c r="A432">
        <v>2024</v>
      </c>
      <c r="B432" t="s">
        <v>195</v>
      </c>
      <c r="C432" t="s">
        <v>225</v>
      </c>
      <c r="D432">
        <v>5860</v>
      </c>
      <c r="E432">
        <v>0.1</v>
      </c>
      <c r="F432">
        <v>0.1</v>
      </c>
      <c r="G432">
        <v>0.4</v>
      </c>
      <c r="H432">
        <v>1.7</v>
      </c>
      <c r="I432">
        <v>4.2</v>
      </c>
      <c r="J432">
        <v>8.1999999999999993</v>
      </c>
      <c r="K432">
        <v>21.7</v>
      </c>
      <c r="L432">
        <v>33.299999999999997</v>
      </c>
      <c r="M432">
        <v>18.100000000000001</v>
      </c>
      <c r="N432">
        <v>12.3</v>
      </c>
      <c r="O432">
        <v>10.6</v>
      </c>
      <c r="P43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7.827</v>
      </c>
    </row>
    <row r="433" spans="1:16" x14ac:dyDescent="0.3">
      <c r="A433">
        <v>2024</v>
      </c>
      <c r="B433" t="s">
        <v>195</v>
      </c>
      <c r="C433" t="s">
        <v>226</v>
      </c>
      <c r="D433">
        <v>4847</v>
      </c>
      <c r="E433">
        <v>0.1</v>
      </c>
      <c r="F433">
        <v>0</v>
      </c>
      <c r="G433">
        <v>0.3</v>
      </c>
      <c r="H433">
        <v>1.2</v>
      </c>
      <c r="I433">
        <v>2.6</v>
      </c>
      <c r="J433">
        <v>5.5</v>
      </c>
      <c r="K433">
        <v>19.7</v>
      </c>
      <c r="L433">
        <v>32</v>
      </c>
      <c r="M433">
        <v>22.2</v>
      </c>
      <c r="N433">
        <v>16.3</v>
      </c>
      <c r="O433">
        <v>9.8000000000000007</v>
      </c>
      <c r="P43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8.0850000000000009</v>
      </c>
    </row>
    <row r="434" spans="1:16" x14ac:dyDescent="0.3">
      <c r="A434">
        <v>2024</v>
      </c>
      <c r="B434" t="s">
        <v>196</v>
      </c>
      <c r="C434" t="s">
        <v>224</v>
      </c>
      <c r="D434">
        <v>10050</v>
      </c>
      <c r="E434">
        <v>0.1</v>
      </c>
      <c r="F434">
        <v>0.1</v>
      </c>
      <c r="G434">
        <v>0.4</v>
      </c>
      <c r="H434">
        <v>1.4</v>
      </c>
      <c r="I434">
        <v>4</v>
      </c>
      <c r="J434">
        <v>8.1999999999999993</v>
      </c>
      <c r="K434">
        <v>20.7</v>
      </c>
      <c r="L434">
        <v>32.299999999999997</v>
      </c>
      <c r="M434">
        <v>20.3</v>
      </c>
      <c r="N434">
        <v>12.4</v>
      </c>
      <c r="O434">
        <v>15.8</v>
      </c>
      <c r="P43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7.8629999999999995</v>
      </c>
    </row>
    <row r="435" spans="1:16" x14ac:dyDescent="0.3">
      <c r="A435">
        <v>2024</v>
      </c>
      <c r="B435" t="s">
        <v>196</v>
      </c>
      <c r="C435" t="s">
        <v>225</v>
      </c>
      <c r="D435">
        <v>5497</v>
      </c>
      <c r="E435">
        <v>0.1</v>
      </c>
      <c r="F435">
        <v>0.1</v>
      </c>
      <c r="G435">
        <v>0.5</v>
      </c>
      <c r="H435">
        <v>1.5</v>
      </c>
      <c r="I435">
        <v>4.7</v>
      </c>
      <c r="J435">
        <v>9.4</v>
      </c>
      <c r="K435">
        <v>22.1</v>
      </c>
      <c r="L435">
        <v>32.299999999999997</v>
      </c>
      <c r="M435">
        <v>18</v>
      </c>
      <c r="N435">
        <v>11.2</v>
      </c>
      <c r="O435">
        <v>16.2</v>
      </c>
      <c r="P43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7.7480000000000002</v>
      </c>
    </row>
    <row r="436" spans="1:16" x14ac:dyDescent="0.3">
      <c r="A436">
        <v>2024</v>
      </c>
      <c r="B436" t="s">
        <v>196</v>
      </c>
      <c r="C436" t="s">
        <v>226</v>
      </c>
      <c r="D436">
        <v>4553</v>
      </c>
      <c r="E436">
        <v>0.1</v>
      </c>
      <c r="F436">
        <v>0</v>
      </c>
      <c r="G436">
        <v>0.3</v>
      </c>
      <c r="H436">
        <v>1.3</v>
      </c>
      <c r="I436">
        <v>3.2</v>
      </c>
      <c r="J436">
        <v>6.9</v>
      </c>
      <c r="K436">
        <v>19</v>
      </c>
      <c r="L436">
        <v>32.200000000000003</v>
      </c>
      <c r="M436">
        <v>23.2</v>
      </c>
      <c r="N436">
        <v>13.7</v>
      </c>
      <c r="O436">
        <v>15.3</v>
      </c>
      <c r="P43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7.9999999999999991</v>
      </c>
    </row>
    <row r="437" spans="1:16" x14ac:dyDescent="0.3">
      <c r="A437">
        <v>2024</v>
      </c>
      <c r="B437" t="s">
        <v>197</v>
      </c>
      <c r="C437" t="s">
        <v>224</v>
      </c>
      <c r="D437">
        <v>9791</v>
      </c>
      <c r="E437">
        <v>0.2</v>
      </c>
      <c r="F437">
        <v>0.1</v>
      </c>
      <c r="G437">
        <v>0.7</v>
      </c>
      <c r="H437">
        <v>1.6</v>
      </c>
      <c r="I437">
        <v>4.2</v>
      </c>
      <c r="J437">
        <v>8.5</v>
      </c>
      <c r="K437">
        <v>20.5</v>
      </c>
      <c r="L437">
        <v>32</v>
      </c>
      <c r="M437">
        <v>19.5</v>
      </c>
      <c r="N437">
        <v>12.7</v>
      </c>
      <c r="O437">
        <v>17.899999999999999</v>
      </c>
      <c r="P43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7.8290000000000006</v>
      </c>
    </row>
    <row r="438" spans="1:16" x14ac:dyDescent="0.3">
      <c r="A438">
        <v>2024</v>
      </c>
      <c r="B438" t="s">
        <v>197</v>
      </c>
      <c r="C438" t="s">
        <v>225</v>
      </c>
      <c r="D438">
        <v>5335</v>
      </c>
      <c r="E438">
        <v>0.2</v>
      </c>
      <c r="F438">
        <v>0.2</v>
      </c>
      <c r="G438">
        <v>0.7</v>
      </c>
      <c r="H438">
        <v>1.7</v>
      </c>
      <c r="I438">
        <v>5</v>
      </c>
      <c r="J438">
        <v>9.6999999999999993</v>
      </c>
      <c r="K438">
        <v>21.4</v>
      </c>
      <c r="L438">
        <v>32.1</v>
      </c>
      <c r="M438">
        <v>17.3</v>
      </c>
      <c r="N438">
        <v>11.7</v>
      </c>
      <c r="O438">
        <v>18.600000000000001</v>
      </c>
      <c r="P43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7.7200000000000006</v>
      </c>
    </row>
    <row r="439" spans="1:16" x14ac:dyDescent="0.3">
      <c r="A439">
        <v>2024</v>
      </c>
      <c r="B439" t="s">
        <v>197</v>
      </c>
      <c r="C439" t="s">
        <v>226</v>
      </c>
      <c r="D439">
        <v>4456</v>
      </c>
      <c r="E439">
        <v>0.1</v>
      </c>
      <c r="F439">
        <v>0.1</v>
      </c>
      <c r="G439">
        <v>0.6</v>
      </c>
      <c r="H439">
        <v>1.5</v>
      </c>
      <c r="I439">
        <v>3.3</v>
      </c>
      <c r="J439">
        <v>7.2</v>
      </c>
      <c r="K439">
        <v>19.399999999999999</v>
      </c>
      <c r="L439">
        <v>31.8</v>
      </c>
      <c r="M439">
        <v>22.1</v>
      </c>
      <c r="N439">
        <v>13.9</v>
      </c>
      <c r="O439">
        <v>17.100000000000001</v>
      </c>
      <c r="P43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7.9589999999999996</v>
      </c>
    </row>
    <row r="440" spans="1:16" x14ac:dyDescent="0.3">
      <c r="A440">
        <v>2024</v>
      </c>
      <c r="B440" t="s">
        <v>198</v>
      </c>
      <c r="C440" t="s">
        <v>224</v>
      </c>
      <c r="D440">
        <v>10360</v>
      </c>
      <c r="E440">
        <v>0.2</v>
      </c>
      <c r="F440">
        <v>0.2</v>
      </c>
      <c r="G440">
        <v>0.6</v>
      </c>
      <c r="H440">
        <v>1.8</v>
      </c>
      <c r="I440">
        <v>3.9</v>
      </c>
      <c r="J440">
        <v>6.5</v>
      </c>
      <c r="K440">
        <v>17.5</v>
      </c>
      <c r="L440">
        <v>32.4</v>
      </c>
      <c r="M440">
        <v>19</v>
      </c>
      <c r="N440">
        <v>17.899999999999999</v>
      </c>
      <c r="O440">
        <v>13.2</v>
      </c>
      <c r="P44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7.9980000000000002</v>
      </c>
    </row>
    <row r="441" spans="1:16" x14ac:dyDescent="0.3">
      <c r="A441">
        <v>2024</v>
      </c>
      <c r="B441" t="s">
        <v>198</v>
      </c>
      <c r="C441" t="s">
        <v>225</v>
      </c>
      <c r="D441">
        <v>5655</v>
      </c>
      <c r="E441">
        <v>0.3</v>
      </c>
      <c r="F441">
        <v>0.2</v>
      </c>
      <c r="G441">
        <v>0.5</v>
      </c>
      <c r="H441">
        <v>2.2000000000000002</v>
      </c>
      <c r="I441">
        <v>4.4000000000000004</v>
      </c>
      <c r="J441">
        <v>7.6</v>
      </c>
      <c r="K441">
        <v>18.600000000000001</v>
      </c>
      <c r="L441">
        <v>32.5</v>
      </c>
      <c r="M441">
        <v>17.8</v>
      </c>
      <c r="N441">
        <v>16</v>
      </c>
      <c r="O441">
        <v>13.7</v>
      </c>
      <c r="P44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7.8900000000000006</v>
      </c>
    </row>
    <row r="442" spans="1:16" x14ac:dyDescent="0.3">
      <c r="A442">
        <v>2024</v>
      </c>
      <c r="B442" t="s">
        <v>198</v>
      </c>
      <c r="C442" t="s">
        <v>226</v>
      </c>
      <c r="D442">
        <v>4705</v>
      </c>
      <c r="E442">
        <v>0.1</v>
      </c>
      <c r="F442">
        <v>0.1</v>
      </c>
      <c r="G442">
        <v>0.7</v>
      </c>
      <c r="H442">
        <v>1.3</v>
      </c>
      <c r="I442">
        <v>3.4</v>
      </c>
      <c r="J442">
        <v>5.2</v>
      </c>
      <c r="K442">
        <v>16.3</v>
      </c>
      <c r="L442">
        <v>32.299999999999997</v>
      </c>
      <c r="M442">
        <v>20.5</v>
      </c>
      <c r="N442">
        <v>20.100000000000001</v>
      </c>
      <c r="O442">
        <v>12.5</v>
      </c>
      <c r="P44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8.1379999999999981</v>
      </c>
    </row>
    <row r="443" spans="1:16" x14ac:dyDescent="0.3">
      <c r="A443">
        <v>2024</v>
      </c>
      <c r="B443" t="s">
        <v>199</v>
      </c>
      <c r="C443" t="s">
        <v>224</v>
      </c>
      <c r="D443">
        <v>10792</v>
      </c>
      <c r="E443">
        <v>0.1</v>
      </c>
      <c r="F443">
        <v>0.1</v>
      </c>
      <c r="G443">
        <v>0.2</v>
      </c>
      <c r="H443">
        <v>0.9</v>
      </c>
      <c r="I443">
        <v>2.5</v>
      </c>
      <c r="J443">
        <v>5.4</v>
      </c>
      <c r="K443">
        <v>16.3</v>
      </c>
      <c r="L443">
        <v>29.6</v>
      </c>
      <c r="M443">
        <v>20.3</v>
      </c>
      <c r="N443">
        <v>24.6</v>
      </c>
      <c r="O443">
        <v>9.5</v>
      </c>
      <c r="P44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8.2899999999999991</v>
      </c>
    </row>
    <row r="444" spans="1:16" x14ac:dyDescent="0.3">
      <c r="A444">
        <v>2024</v>
      </c>
      <c r="B444" t="s">
        <v>199</v>
      </c>
      <c r="C444" t="s">
        <v>225</v>
      </c>
      <c r="D444">
        <v>5909</v>
      </c>
      <c r="E444">
        <v>0.1</v>
      </c>
      <c r="F444">
        <v>0.2</v>
      </c>
      <c r="G444">
        <v>0.2</v>
      </c>
      <c r="H444">
        <v>1.1000000000000001</v>
      </c>
      <c r="I444">
        <v>2.9</v>
      </c>
      <c r="J444">
        <v>6.3</v>
      </c>
      <c r="K444">
        <v>17.100000000000001</v>
      </c>
      <c r="L444">
        <v>30.2</v>
      </c>
      <c r="M444">
        <v>19.399999999999999</v>
      </c>
      <c r="N444">
        <v>22.5</v>
      </c>
      <c r="O444">
        <v>9.9</v>
      </c>
      <c r="P44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8.1869999999999994</v>
      </c>
    </row>
    <row r="445" spans="1:16" x14ac:dyDescent="0.3">
      <c r="A445">
        <v>2024</v>
      </c>
      <c r="B445" t="s">
        <v>199</v>
      </c>
      <c r="C445" t="s">
        <v>226</v>
      </c>
      <c r="D445">
        <v>4883</v>
      </c>
      <c r="E445">
        <v>0</v>
      </c>
      <c r="F445">
        <v>0.1</v>
      </c>
      <c r="G445">
        <v>0.1</v>
      </c>
      <c r="H445">
        <v>0.6</v>
      </c>
      <c r="I445">
        <v>2</v>
      </c>
      <c r="J445">
        <v>4.2</v>
      </c>
      <c r="K445">
        <v>15.4</v>
      </c>
      <c r="L445">
        <v>28.9</v>
      </c>
      <c r="M445">
        <v>21.5</v>
      </c>
      <c r="N445">
        <v>27.2</v>
      </c>
      <c r="O445">
        <v>9.1999999999999993</v>
      </c>
      <c r="P44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8.4260000000000002</v>
      </c>
    </row>
    <row r="446" spans="1:16" x14ac:dyDescent="0.3">
      <c r="A446">
        <v>2024</v>
      </c>
      <c r="B446" t="s">
        <v>200</v>
      </c>
      <c r="C446" t="s">
        <v>224</v>
      </c>
      <c r="D446">
        <v>10196</v>
      </c>
      <c r="E446">
        <v>0.1</v>
      </c>
      <c r="F446">
        <v>0.2</v>
      </c>
      <c r="G446">
        <v>1</v>
      </c>
      <c r="H446">
        <v>1.7</v>
      </c>
      <c r="I446">
        <v>3.6</v>
      </c>
      <c r="J446">
        <v>8.5</v>
      </c>
      <c r="K446">
        <v>19.399999999999999</v>
      </c>
      <c r="L446">
        <v>31.4</v>
      </c>
      <c r="M446">
        <v>19.600000000000001</v>
      </c>
      <c r="N446">
        <v>14.5</v>
      </c>
      <c r="O446">
        <v>14.5</v>
      </c>
      <c r="P44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7.8770000000000007</v>
      </c>
    </row>
    <row r="447" spans="1:16" x14ac:dyDescent="0.3">
      <c r="A447">
        <v>2024</v>
      </c>
      <c r="B447" t="s">
        <v>200</v>
      </c>
      <c r="C447" t="s">
        <v>225</v>
      </c>
      <c r="D447">
        <v>5579</v>
      </c>
      <c r="E447">
        <v>0.1</v>
      </c>
      <c r="F447">
        <v>0.3</v>
      </c>
      <c r="G447">
        <v>1</v>
      </c>
      <c r="H447">
        <v>1.8</v>
      </c>
      <c r="I447">
        <v>4</v>
      </c>
      <c r="J447">
        <v>9.4</v>
      </c>
      <c r="K447">
        <v>20.2</v>
      </c>
      <c r="L447">
        <v>32</v>
      </c>
      <c r="M447">
        <v>18.2</v>
      </c>
      <c r="N447">
        <v>13</v>
      </c>
      <c r="O447">
        <v>14.9</v>
      </c>
      <c r="P44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7.7850000000000001</v>
      </c>
    </row>
    <row r="448" spans="1:16" x14ac:dyDescent="0.3">
      <c r="A448">
        <v>2024</v>
      </c>
      <c r="B448" t="s">
        <v>200</v>
      </c>
      <c r="C448" t="s">
        <v>226</v>
      </c>
      <c r="D448">
        <v>4617</v>
      </c>
      <c r="E448">
        <v>0.1</v>
      </c>
      <c r="F448">
        <v>0.2</v>
      </c>
      <c r="G448">
        <v>0.9</v>
      </c>
      <c r="H448">
        <v>1.6</v>
      </c>
      <c r="I448">
        <v>3</v>
      </c>
      <c r="J448">
        <v>7.5</v>
      </c>
      <c r="K448">
        <v>18.3</v>
      </c>
      <c r="L448">
        <v>30.8</v>
      </c>
      <c r="M448">
        <v>21.4</v>
      </c>
      <c r="N448">
        <v>16.3</v>
      </c>
      <c r="O448">
        <v>14.1</v>
      </c>
      <c r="P44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7.9969999999999999</v>
      </c>
    </row>
    <row r="449" spans="1:16" x14ac:dyDescent="0.3">
      <c r="A449">
        <v>2024</v>
      </c>
      <c r="B449" t="s">
        <v>201</v>
      </c>
      <c r="C449" t="s">
        <v>224</v>
      </c>
      <c r="D449">
        <v>9962</v>
      </c>
      <c r="E449">
        <v>0.3</v>
      </c>
      <c r="F449">
        <v>0.4</v>
      </c>
      <c r="G449">
        <v>1.6</v>
      </c>
      <c r="H449">
        <v>2.9</v>
      </c>
      <c r="I449">
        <v>5.5</v>
      </c>
      <c r="J449">
        <v>10.8</v>
      </c>
      <c r="K449">
        <v>20.5</v>
      </c>
      <c r="L449">
        <v>29.5</v>
      </c>
      <c r="M449">
        <v>17.3</v>
      </c>
      <c r="N449">
        <v>11.3</v>
      </c>
      <c r="O449">
        <v>16.5</v>
      </c>
      <c r="P44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7.580000000000001</v>
      </c>
    </row>
    <row r="450" spans="1:16" x14ac:dyDescent="0.3">
      <c r="A450">
        <v>2024</v>
      </c>
      <c r="B450" t="s">
        <v>201</v>
      </c>
      <c r="C450" t="s">
        <v>225</v>
      </c>
      <c r="D450">
        <v>5439</v>
      </c>
      <c r="E450">
        <v>0.3</v>
      </c>
      <c r="F450">
        <v>0.4</v>
      </c>
      <c r="G450">
        <v>1.7</v>
      </c>
      <c r="H450">
        <v>3.2</v>
      </c>
      <c r="I450">
        <v>5.8</v>
      </c>
      <c r="J450">
        <v>11.6</v>
      </c>
      <c r="K450">
        <v>21.6</v>
      </c>
      <c r="L450">
        <v>29.3</v>
      </c>
      <c r="M450">
        <v>16</v>
      </c>
      <c r="N450">
        <v>10</v>
      </c>
      <c r="O450">
        <v>17</v>
      </c>
      <c r="P45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7.4719999999999995</v>
      </c>
    </row>
    <row r="451" spans="1:16" x14ac:dyDescent="0.3">
      <c r="A451">
        <v>2024</v>
      </c>
      <c r="B451" t="s">
        <v>201</v>
      </c>
      <c r="C451" t="s">
        <v>226</v>
      </c>
      <c r="D451">
        <v>4523</v>
      </c>
      <c r="E451">
        <v>0.2</v>
      </c>
      <c r="F451">
        <v>0.4</v>
      </c>
      <c r="G451">
        <v>1.4</v>
      </c>
      <c r="H451">
        <v>2.5</v>
      </c>
      <c r="I451">
        <v>5</v>
      </c>
      <c r="J451">
        <v>9.6999999999999993</v>
      </c>
      <c r="K451">
        <v>19.2</v>
      </c>
      <c r="L451">
        <v>29.7</v>
      </c>
      <c r="M451">
        <v>19</v>
      </c>
      <c r="N451">
        <v>12.9</v>
      </c>
      <c r="O451">
        <v>15.9</v>
      </c>
      <c r="P45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7.7040000000000006</v>
      </c>
    </row>
    <row r="452" spans="1:16" x14ac:dyDescent="0.3">
      <c r="A452">
        <v>2024</v>
      </c>
      <c r="B452" t="s">
        <v>202</v>
      </c>
      <c r="C452" t="s">
        <v>224</v>
      </c>
      <c r="D452">
        <v>10695</v>
      </c>
      <c r="E452">
        <v>0.4</v>
      </c>
      <c r="F452">
        <v>0.4</v>
      </c>
      <c r="G452">
        <v>1.1000000000000001</v>
      </c>
      <c r="H452">
        <v>2.4</v>
      </c>
      <c r="I452">
        <v>4.5</v>
      </c>
      <c r="J452">
        <v>7.8</v>
      </c>
      <c r="K452">
        <v>20.2</v>
      </c>
      <c r="L452">
        <v>30</v>
      </c>
      <c r="M452">
        <v>20.6</v>
      </c>
      <c r="N452">
        <v>12.5</v>
      </c>
      <c r="O452">
        <v>10.4</v>
      </c>
      <c r="P45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7.7519999999999998</v>
      </c>
    </row>
    <row r="453" spans="1:16" x14ac:dyDescent="0.3">
      <c r="A453">
        <v>2024</v>
      </c>
      <c r="B453" t="s">
        <v>202</v>
      </c>
      <c r="C453" t="s">
        <v>225</v>
      </c>
      <c r="D453">
        <v>5864</v>
      </c>
      <c r="E453">
        <v>0.4</v>
      </c>
      <c r="F453">
        <v>0.4</v>
      </c>
      <c r="G453">
        <v>1.2</v>
      </c>
      <c r="H453">
        <v>2.7</v>
      </c>
      <c r="I453">
        <v>5</v>
      </c>
      <c r="J453">
        <v>8.5</v>
      </c>
      <c r="K453">
        <v>21.2</v>
      </c>
      <c r="L453">
        <v>29.7</v>
      </c>
      <c r="M453">
        <v>19.3</v>
      </c>
      <c r="N453">
        <v>11.6</v>
      </c>
      <c r="O453">
        <v>10.6</v>
      </c>
      <c r="P45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7.673</v>
      </c>
    </row>
    <row r="454" spans="1:16" x14ac:dyDescent="0.3">
      <c r="A454">
        <v>2024</v>
      </c>
      <c r="B454" t="s">
        <v>202</v>
      </c>
      <c r="C454" t="s">
        <v>226</v>
      </c>
      <c r="D454">
        <v>4831</v>
      </c>
      <c r="E454">
        <v>0.5</v>
      </c>
      <c r="F454">
        <v>0.3</v>
      </c>
      <c r="G454">
        <v>1</v>
      </c>
      <c r="H454">
        <v>2.1</v>
      </c>
      <c r="I454">
        <v>4</v>
      </c>
      <c r="J454">
        <v>6.9</v>
      </c>
      <c r="K454">
        <v>19</v>
      </c>
      <c r="L454">
        <v>30.4</v>
      </c>
      <c r="M454">
        <v>22.3</v>
      </c>
      <c r="N454">
        <v>13.5</v>
      </c>
      <c r="O454">
        <v>10.1</v>
      </c>
      <c r="P45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7.8579999999999988</v>
      </c>
    </row>
    <row r="455" spans="1:16" x14ac:dyDescent="0.3">
      <c r="A455">
        <v>2024</v>
      </c>
      <c r="B455" t="s">
        <v>203</v>
      </c>
      <c r="C455" t="s">
        <v>224</v>
      </c>
      <c r="D455">
        <v>10722</v>
      </c>
      <c r="E455">
        <v>0.5</v>
      </c>
      <c r="F455">
        <v>0.4</v>
      </c>
      <c r="G455">
        <v>1.7</v>
      </c>
      <c r="H455">
        <v>2.6</v>
      </c>
      <c r="I455">
        <v>5.2</v>
      </c>
      <c r="J455">
        <v>8.9</v>
      </c>
      <c r="K455">
        <v>20.7</v>
      </c>
      <c r="L455">
        <v>28.7</v>
      </c>
      <c r="M455">
        <v>19.5</v>
      </c>
      <c r="N455">
        <v>11.8</v>
      </c>
      <c r="O455">
        <v>10.1</v>
      </c>
      <c r="P45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7.6419999999999995</v>
      </c>
    </row>
    <row r="456" spans="1:16" x14ac:dyDescent="0.3">
      <c r="A456">
        <v>2024</v>
      </c>
      <c r="B456" t="s">
        <v>203</v>
      </c>
      <c r="C456" t="s">
        <v>225</v>
      </c>
      <c r="D456">
        <v>5859</v>
      </c>
      <c r="E456">
        <v>0.4</v>
      </c>
      <c r="F456">
        <v>0.4</v>
      </c>
      <c r="G456">
        <v>1.7</v>
      </c>
      <c r="H456">
        <v>3.2</v>
      </c>
      <c r="I456">
        <v>5.4</v>
      </c>
      <c r="J456">
        <v>9.6999999999999993</v>
      </c>
      <c r="K456">
        <v>21.4</v>
      </c>
      <c r="L456">
        <v>28.9</v>
      </c>
      <c r="M456">
        <v>18.2</v>
      </c>
      <c r="N456">
        <v>10.7</v>
      </c>
      <c r="O456">
        <v>10.6</v>
      </c>
      <c r="P45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7.5609999999999999</v>
      </c>
    </row>
    <row r="457" spans="1:16" x14ac:dyDescent="0.3">
      <c r="A457">
        <v>2024</v>
      </c>
      <c r="B457" t="s">
        <v>203</v>
      </c>
      <c r="C457" t="s">
        <v>226</v>
      </c>
      <c r="D457">
        <v>4863</v>
      </c>
      <c r="E457">
        <v>0.5</v>
      </c>
      <c r="F457">
        <v>0.3</v>
      </c>
      <c r="G457">
        <v>1.7</v>
      </c>
      <c r="H457">
        <v>2</v>
      </c>
      <c r="I457">
        <v>5</v>
      </c>
      <c r="J457">
        <v>8</v>
      </c>
      <c r="K457">
        <v>19.899999999999999</v>
      </c>
      <c r="L457">
        <v>28.4</v>
      </c>
      <c r="M457">
        <v>21</v>
      </c>
      <c r="N457">
        <v>13.2</v>
      </c>
      <c r="O457">
        <v>9.5</v>
      </c>
      <c r="P45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7.746999999999999</v>
      </c>
    </row>
    <row r="458" spans="1:16" x14ac:dyDescent="0.3">
      <c r="A458">
        <v>2024</v>
      </c>
      <c r="B458" t="s">
        <v>204</v>
      </c>
      <c r="C458" t="s">
        <v>224</v>
      </c>
      <c r="D458">
        <v>10880</v>
      </c>
      <c r="E458">
        <v>0.6</v>
      </c>
      <c r="F458">
        <v>0.8</v>
      </c>
      <c r="G458">
        <v>2.1</v>
      </c>
      <c r="H458">
        <v>2.5</v>
      </c>
      <c r="I458">
        <v>4.8</v>
      </c>
      <c r="J458">
        <v>8.6</v>
      </c>
      <c r="K458">
        <v>20</v>
      </c>
      <c r="L458">
        <v>28.5</v>
      </c>
      <c r="M458">
        <v>19.600000000000001</v>
      </c>
      <c r="N458">
        <v>12.5</v>
      </c>
      <c r="O458">
        <v>8.8000000000000007</v>
      </c>
      <c r="P45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7.6349999999999998</v>
      </c>
    </row>
    <row r="459" spans="1:16" x14ac:dyDescent="0.3">
      <c r="A459">
        <v>2024</v>
      </c>
      <c r="B459" t="s">
        <v>204</v>
      </c>
      <c r="C459" t="s">
        <v>225</v>
      </c>
      <c r="D459">
        <v>5964</v>
      </c>
      <c r="E459">
        <v>0.6</v>
      </c>
      <c r="F459">
        <v>0.9</v>
      </c>
      <c r="G459">
        <v>2.1</v>
      </c>
      <c r="H459">
        <v>2.8</v>
      </c>
      <c r="I459">
        <v>4.9000000000000004</v>
      </c>
      <c r="J459">
        <v>9.1999999999999993</v>
      </c>
      <c r="K459">
        <v>21</v>
      </c>
      <c r="L459">
        <v>28.5</v>
      </c>
      <c r="M459">
        <v>18.399999999999999</v>
      </c>
      <c r="N459">
        <v>11.6</v>
      </c>
      <c r="O459">
        <v>9</v>
      </c>
      <c r="P45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7.5619999999999994</v>
      </c>
    </row>
    <row r="460" spans="1:16" x14ac:dyDescent="0.3">
      <c r="A460">
        <v>2024</v>
      </c>
      <c r="B460" t="s">
        <v>204</v>
      </c>
      <c r="C460" t="s">
        <v>226</v>
      </c>
      <c r="D460">
        <v>4916</v>
      </c>
      <c r="E460">
        <v>0.6</v>
      </c>
      <c r="F460">
        <v>0.7</v>
      </c>
      <c r="G460">
        <v>2</v>
      </c>
      <c r="H460">
        <v>2.1</v>
      </c>
      <c r="I460">
        <v>4.5999999999999996</v>
      </c>
      <c r="J460">
        <v>8</v>
      </c>
      <c r="K460">
        <v>18.899999999999999</v>
      </c>
      <c r="L460">
        <v>28.4</v>
      </c>
      <c r="M460">
        <v>21.1</v>
      </c>
      <c r="N460">
        <v>13.6</v>
      </c>
      <c r="O460">
        <v>8.5</v>
      </c>
      <c r="P46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7.7279999999999998</v>
      </c>
    </row>
    <row r="461" spans="1:16" x14ac:dyDescent="0.3">
      <c r="A461">
        <v>2024</v>
      </c>
      <c r="B461" t="s">
        <v>205</v>
      </c>
      <c r="C461" t="s">
        <v>224</v>
      </c>
      <c r="D461">
        <v>11466</v>
      </c>
      <c r="E461">
        <v>0.2</v>
      </c>
      <c r="F461">
        <v>0.4</v>
      </c>
      <c r="G461">
        <v>1.3</v>
      </c>
      <c r="H461">
        <v>2.2000000000000002</v>
      </c>
      <c r="I461">
        <v>4</v>
      </c>
      <c r="J461">
        <v>7.3</v>
      </c>
      <c r="K461">
        <v>18.8</v>
      </c>
      <c r="L461">
        <v>29.5</v>
      </c>
      <c r="M461">
        <v>21.4</v>
      </c>
      <c r="N461">
        <v>14.9</v>
      </c>
      <c r="O461">
        <v>3.9</v>
      </c>
      <c r="P46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7.867</v>
      </c>
    </row>
    <row r="462" spans="1:16" x14ac:dyDescent="0.3">
      <c r="A462">
        <v>2024</v>
      </c>
      <c r="B462" t="s">
        <v>205</v>
      </c>
      <c r="C462" t="s">
        <v>225</v>
      </c>
      <c r="D462">
        <v>6285</v>
      </c>
      <c r="E462">
        <v>0.2</v>
      </c>
      <c r="F462">
        <v>0.4</v>
      </c>
      <c r="G462">
        <v>1</v>
      </c>
      <c r="H462">
        <v>2.4</v>
      </c>
      <c r="I462">
        <v>4.4000000000000004</v>
      </c>
      <c r="J462">
        <v>7.8</v>
      </c>
      <c r="K462">
        <v>19</v>
      </c>
      <c r="L462">
        <v>29.6</v>
      </c>
      <c r="M462">
        <v>21.1</v>
      </c>
      <c r="N462">
        <v>14</v>
      </c>
      <c r="O462">
        <v>4.0999999999999996</v>
      </c>
      <c r="P46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7.8209999999999997</v>
      </c>
    </row>
    <row r="463" spans="1:16" x14ac:dyDescent="0.3">
      <c r="A463">
        <v>2024</v>
      </c>
      <c r="B463" t="s">
        <v>205</v>
      </c>
      <c r="C463" t="s">
        <v>226</v>
      </c>
      <c r="D463">
        <v>5181</v>
      </c>
      <c r="E463">
        <v>0.3</v>
      </c>
      <c r="F463">
        <v>0.3</v>
      </c>
      <c r="G463">
        <v>1.6</v>
      </c>
      <c r="H463">
        <v>1.9</v>
      </c>
      <c r="I463">
        <v>3.6</v>
      </c>
      <c r="J463">
        <v>6.7</v>
      </c>
      <c r="K463">
        <v>18.5</v>
      </c>
      <c r="L463">
        <v>29.4</v>
      </c>
      <c r="M463">
        <v>21.8</v>
      </c>
      <c r="N463">
        <v>15.9</v>
      </c>
      <c r="O463">
        <v>3.6</v>
      </c>
      <c r="P463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7.9139999999999997</v>
      </c>
    </row>
    <row r="464" spans="1:16" x14ac:dyDescent="0.3">
      <c r="A464">
        <v>2024</v>
      </c>
      <c r="B464" t="s">
        <v>206</v>
      </c>
      <c r="C464" t="s">
        <v>224</v>
      </c>
      <c r="D464">
        <v>10621</v>
      </c>
      <c r="E464">
        <v>0.1</v>
      </c>
      <c r="F464">
        <v>0.2</v>
      </c>
      <c r="G464">
        <v>0.9</v>
      </c>
      <c r="H464">
        <v>1.9</v>
      </c>
      <c r="I464">
        <v>3.4</v>
      </c>
      <c r="J464">
        <v>5.9</v>
      </c>
      <c r="K464">
        <v>18.2</v>
      </c>
      <c r="L464">
        <v>30.3</v>
      </c>
      <c r="M464">
        <v>20.5</v>
      </c>
      <c r="N464">
        <v>18.5</v>
      </c>
      <c r="O464">
        <v>11</v>
      </c>
      <c r="P464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8.0250000000000004</v>
      </c>
    </row>
    <row r="465" spans="1:16" x14ac:dyDescent="0.3">
      <c r="A465">
        <v>2024</v>
      </c>
      <c r="B465" t="s">
        <v>206</v>
      </c>
      <c r="C465" t="s">
        <v>225</v>
      </c>
      <c r="D465">
        <v>5830</v>
      </c>
      <c r="E465">
        <v>0.1</v>
      </c>
      <c r="F465">
        <v>0.3</v>
      </c>
      <c r="G465">
        <v>0.9</v>
      </c>
      <c r="H465">
        <v>2</v>
      </c>
      <c r="I465">
        <v>3.9</v>
      </c>
      <c r="J465">
        <v>6.1</v>
      </c>
      <c r="K465">
        <v>18.2</v>
      </c>
      <c r="L465">
        <v>30.4</v>
      </c>
      <c r="M465">
        <v>20.3</v>
      </c>
      <c r="N465">
        <v>17.899999999999999</v>
      </c>
      <c r="O465">
        <v>11.1</v>
      </c>
      <c r="P465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7.9980000000000002</v>
      </c>
    </row>
    <row r="466" spans="1:16" x14ac:dyDescent="0.3">
      <c r="A466">
        <v>2024</v>
      </c>
      <c r="B466" t="s">
        <v>206</v>
      </c>
      <c r="C466" t="s">
        <v>226</v>
      </c>
      <c r="D466">
        <v>4791</v>
      </c>
      <c r="E466">
        <v>0.2</v>
      </c>
      <c r="F466">
        <v>0.2</v>
      </c>
      <c r="G466">
        <v>0.9</v>
      </c>
      <c r="H466">
        <v>1.9</v>
      </c>
      <c r="I466">
        <v>2.9</v>
      </c>
      <c r="J466">
        <v>5.5</v>
      </c>
      <c r="K466">
        <v>18.100000000000001</v>
      </c>
      <c r="L466">
        <v>30.3</v>
      </c>
      <c r="M466">
        <v>20.7</v>
      </c>
      <c r="N466">
        <v>19.3</v>
      </c>
      <c r="O466">
        <v>10.9</v>
      </c>
      <c r="P466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8.0679999999999996</v>
      </c>
    </row>
    <row r="467" spans="1:16" x14ac:dyDescent="0.3">
      <c r="A467">
        <v>2024</v>
      </c>
      <c r="B467" t="s">
        <v>207</v>
      </c>
      <c r="C467" t="s">
        <v>224</v>
      </c>
      <c r="D467">
        <v>9860</v>
      </c>
      <c r="E467">
        <v>0.3</v>
      </c>
      <c r="F467">
        <v>0.2</v>
      </c>
      <c r="G467">
        <v>0.6</v>
      </c>
      <c r="H467">
        <v>2.5</v>
      </c>
      <c r="I467">
        <v>4.8</v>
      </c>
      <c r="J467">
        <v>8.4</v>
      </c>
      <c r="K467">
        <v>20.7</v>
      </c>
      <c r="L467">
        <v>30.6</v>
      </c>
      <c r="M467">
        <v>20.8</v>
      </c>
      <c r="N467">
        <v>11</v>
      </c>
      <c r="O467">
        <v>17.399999999999999</v>
      </c>
      <c r="P467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7.7379999999999995</v>
      </c>
    </row>
    <row r="468" spans="1:16" x14ac:dyDescent="0.3">
      <c r="A468">
        <v>2024</v>
      </c>
      <c r="B468" t="s">
        <v>207</v>
      </c>
      <c r="C468" t="s">
        <v>225</v>
      </c>
      <c r="D468">
        <v>5423</v>
      </c>
      <c r="E468">
        <v>0.3</v>
      </c>
      <c r="F468">
        <v>0.3</v>
      </c>
      <c r="G468">
        <v>0.7</v>
      </c>
      <c r="H468">
        <v>2.9</v>
      </c>
      <c r="I468">
        <v>5.3</v>
      </c>
      <c r="J468">
        <v>8.6</v>
      </c>
      <c r="K468">
        <v>21.6</v>
      </c>
      <c r="L468">
        <v>30.2</v>
      </c>
      <c r="M468">
        <v>19.8</v>
      </c>
      <c r="N468">
        <v>10.199999999999999</v>
      </c>
      <c r="O468">
        <v>17.3</v>
      </c>
      <c r="P468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7.657</v>
      </c>
    </row>
    <row r="469" spans="1:16" x14ac:dyDescent="0.3">
      <c r="A469">
        <v>2024</v>
      </c>
      <c r="B469" t="s">
        <v>207</v>
      </c>
      <c r="C469" t="s">
        <v>226</v>
      </c>
      <c r="D469">
        <v>4437</v>
      </c>
      <c r="E469">
        <v>0.3</v>
      </c>
      <c r="F469">
        <v>0.1</v>
      </c>
      <c r="G469">
        <v>0.6</v>
      </c>
      <c r="H469">
        <v>2</v>
      </c>
      <c r="I469">
        <v>4.2</v>
      </c>
      <c r="J469">
        <v>8</v>
      </c>
      <c r="K469">
        <v>19.600000000000001</v>
      </c>
      <c r="L469">
        <v>31.2</v>
      </c>
      <c r="M469">
        <v>22.1</v>
      </c>
      <c r="N469">
        <v>12</v>
      </c>
      <c r="O469">
        <v>17.5</v>
      </c>
      <c r="P469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7.85</v>
      </c>
    </row>
    <row r="470" spans="1:16" x14ac:dyDescent="0.3">
      <c r="A470">
        <v>2024</v>
      </c>
      <c r="B470" t="s">
        <v>208</v>
      </c>
      <c r="C470" t="s">
        <v>224</v>
      </c>
      <c r="D470">
        <v>11378</v>
      </c>
      <c r="E470">
        <v>0.4</v>
      </c>
      <c r="F470">
        <v>0.3</v>
      </c>
      <c r="G470">
        <v>1.2</v>
      </c>
      <c r="H470">
        <v>1.8</v>
      </c>
      <c r="I470">
        <v>3.1</v>
      </c>
      <c r="J470">
        <v>5.7</v>
      </c>
      <c r="K470">
        <v>17.399999999999999</v>
      </c>
      <c r="L470">
        <v>27.6</v>
      </c>
      <c r="M470">
        <v>20.8</v>
      </c>
      <c r="N470">
        <v>21.8</v>
      </c>
      <c r="O470">
        <v>4.5999999999999996</v>
      </c>
      <c r="P470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8.093</v>
      </c>
    </row>
    <row r="471" spans="1:16" x14ac:dyDescent="0.3">
      <c r="A471">
        <v>2024</v>
      </c>
      <c r="B471" t="s">
        <v>208</v>
      </c>
      <c r="C471" t="s">
        <v>225</v>
      </c>
      <c r="D471">
        <v>6244</v>
      </c>
      <c r="E471">
        <v>0.4</v>
      </c>
      <c r="F471">
        <v>0.3</v>
      </c>
      <c r="G471">
        <v>1.1000000000000001</v>
      </c>
      <c r="H471">
        <v>2</v>
      </c>
      <c r="I471">
        <v>3.5</v>
      </c>
      <c r="J471">
        <v>6</v>
      </c>
      <c r="K471">
        <v>18.600000000000001</v>
      </c>
      <c r="L471">
        <v>26.7</v>
      </c>
      <c r="M471">
        <v>20.6</v>
      </c>
      <c r="N471">
        <v>20.7</v>
      </c>
      <c r="O471">
        <v>4.8</v>
      </c>
      <c r="P471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8.02</v>
      </c>
    </row>
    <row r="472" spans="1:16" x14ac:dyDescent="0.3">
      <c r="A472">
        <v>2024</v>
      </c>
      <c r="B472" t="s">
        <v>208</v>
      </c>
      <c r="C472" t="s">
        <v>226</v>
      </c>
      <c r="D472">
        <v>5134</v>
      </c>
      <c r="E472">
        <v>0.4</v>
      </c>
      <c r="F472">
        <v>0.4</v>
      </c>
      <c r="G472">
        <v>1.2</v>
      </c>
      <c r="H472">
        <v>1.5</v>
      </c>
      <c r="I472">
        <v>2.6</v>
      </c>
      <c r="J472">
        <v>5.2</v>
      </c>
      <c r="K472">
        <v>15.9</v>
      </c>
      <c r="L472">
        <v>28.7</v>
      </c>
      <c r="M472">
        <v>21</v>
      </c>
      <c r="N472">
        <v>23.1</v>
      </c>
      <c r="O472">
        <v>4.5</v>
      </c>
      <c r="P472" s="3">
        <f>1*rezultat_po_ballam[[#This Row],[% балл 1]]/100+2*rezultat_po_ballam[[#This Row],[% балл 2]]/100+3*rezultat_po_ballam[[#This Row],[% балл 3]]/100+4*rezultat_po_ballam[[#This Row],[% балл 4]]/100+5*rezultat_po_ballam[[#This Row],[% балл 5]]/100+6*rezultat_po_ballam[[#This Row],[% балл 6]]/100+7*rezultat_po_ballam[[#This Row],[% балл 7]]/100+8*rezultat_po_ballam[[#This Row],[% балл 8]]/100+9*rezultat_po_ballam[[#This Row],[% балл 9]]/100+10*rezultat_po_ballam[[#This Row],[% балл 10]]/100</f>
        <v>8.1589999999999989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9F73-AEF3-4C47-9C3A-2D35116C0EE8}">
  <sheetPr>
    <tabColor theme="8" tint="0.39997558519241921"/>
  </sheetPr>
  <dimension ref="A1:F241"/>
  <sheetViews>
    <sheetView workbookViewId="0">
      <selection activeCell="F2" sqref="F2"/>
    </sheetView>
  </sheetViews>
  <sheetFormatPr defaultRowHeight="14.4" x14ac:dyDescent="0.3"/>
  <cols>
    <col min="1" max="1" width="6.88671875" bestFit="1" customWidth="1"/>
    <col min="2" max="2" width="8.77734375" bestFit="1" customWidth="1"/>
    <col min="3" max="3" width="18.33203125" customWidth="1"/>
    <col min="4" max="4" width="23.21875" bestFit="1" customWidth="1"/>
    <col min="5" max="5" width="8.109375" bestFit="1" customWidth="1"/>
    <col min="6" max="6" width="12.5546875" bestFit="1" customWidth="1"/>
  </cols>
  <sheetData>
    <row r="1" spans="1:6" x14ac:dyDescent="0.3">
      <c r="A1" t="s">
        <v>13</v>
      </c>
      <c r="B1" t="s">
        <v>14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3">
      <c r="A2">
        <v>2021</v>
      </c>
      <c r="B2" t="s">
        <v>25</v>
      </c>
      <c r="C2" t="s">
        <v>230</v>
      </c>
      <c r="D2" t="s">
        <v>87</v>
      </c>
      <c r="E2">
        <v>6698</v>
      </c>
      <c r="F2">
        <v>29.7</v>
      </c>
    </row>
    <row r="3" spans="1:6" x14ac:dyDescent="0.3">
      <c r="A3">
        <v>2021</v>
      </c>
      <c r="B3" t="s">
        <v>25</v>
      </c>
      <c r="C3" t="s">
        <v>230</v>
      </c>
      <c r="D3" t="s">
        <v>88</v>
      </c>
      <c r="E3">
        <v>4073</v>
      </c>
      <c r="F3">
        <v>18</v>
      </c>
    </row>
    <row r="4" spans="1:6" x14ac:dyDescent="0.3">
      <c r="A4">
        <v>2021</v>
      </c>
      <c r="B4" t="s">
        <v>25</v>
      </c>
      <c r="C4" t="s">
        <v>230</v>
      </c>
      <c r="D4" t="s">
        <v>89</v>
      </c>
      <c r="E4">
        <v>8343</v>
      </c>
      <c r="F4">
        <v>36.9</v>
      </c>
    </row>
    <row r="5" spans="1:6" x14ac:dyDescent="0.3">
      <c r="A5">
        <v>2021</v>
      </c>
      <c r="B5" t="s">
        <v>25</v>
      </c>
      <c r="C5" t="s">
        <v>230</v>
      </c>
      <c r="D5" t="s">
        <v>90</v>
      </c>
      <c r="E5">
        <v>756</v>
      </c>
      <c r="F5">
        <v>3.3</v>
      </c>
    </row>
    <row r="6" spans="1:6" x14ac:dyDescent="0.3">
      <c r="A6">
        <v>2021</v>
      </c>
      <c r="B6" t="s">
        <v>25</v>
      </c>
      <c r="C6" t="s">
        <v>230</v>
      </c>
      <c r="D6" t="s">
        <v>91</v>
      </c>
      <c r="E6">
        <v>273</v>
      </c>
      <c r="F6">
        <v>1.2</v>
      </c>
    </row>
    <row r="7" spans="1:6" x14ac:dyDescent="0.3">
      <c r="A7">
        <v>2021</v>
      </c>
      <c r="B7" t="s">
        <v>25</v>
      </c>
      <c r="C7" t="s">
        <v>230</v>
      </c>
      <c r="D7" t="s">
        <v>92</v>
      </c>
      <c r="E7">
        <v>41</v>
      </c>
      <c r="F7">
        <v>0.2</v>
      </c>
    </row>
    <row r="8" spans="1:6" x14ac:dyDescent="0.3">
      <c r="A8">
        <v>2021</v>
      </c>
      <c r="B8" t="s">
        <v>25</v>
      </c>
      <c r="C8" t="s">
        <v>230</v>
      </c>
      <c r="D8" t="s">
        <v>93</v>
      </c>
      <c r="E8">
        <v>1408</v>
      </c>
      <c r="F8">
        <v>6.2</v>
      </c>
    </row>
    <row r="9" spans="1:6" x14ac:dyDescent="0.3">
      <c r="A9">
        <v>2021</v>
      </c>
      <c r="B9" t="s">
        <v>25</v>
      </c>
      <c r="C9" t="s">
        <v>230</v>
      </c>
      <c r="D9" t="s">
        <v>94</v>
      </c>
      <c r="E9">
        <v>927</v>
      </c>
      <c r="F9">
        <v>4.0999999999999996</v>
      </c>
    </row>
    <row r="10" spans="1:6" x14ac:dyDescent="0.3">
      <c r="A10">
        <v>2021</v>
      </c>
      <c r="B10" t="s">
        <v>25</v>
      </c>
      <c r="C10" t="s">
        <v>230</v>
      </c>
      <c r="D10" t="s">
        <v>95</v>
      </c>
      <c r="E10">
        <v>67</v>
      </c>
      <c r="F10">
        <v>0.3</v>
      </c>
    </row>
    <row r="11" spans="1:6" x14ac:dyDescent="0.3">
      <c r="A11">
        <v>2021</v>
      </c>
      <c r="B11" t="s">
        <v>25</v>
      </c>
      <c r="C11" t="s">
        <v>231</v>
      </c>
      <c r="D11" t="s">
        <v>96</v>
      </c>
      <c r="E11">
        <v>10225</v>
      </c>
      <c r="F11">
        <v>45.3</v>
      </c>
    </row>
    <row r="12" spans="1:6" x14ac:dyDescent="0.3">
      <c r="A12">
        <v>2021</v>
      </c>
      <c r="B12" t="s">
        <v>25</v>
      </c>
      <c r="C12" t="s">
        <v>231</v>
      </c>
      <c r="D12" t="s">
        <v>97</v>
      </c>
      <c r="E12">
        <v>12361</v>
      </c>
      <c r="F12">
        <v>54.7</v>
      </c>
    </row>
    <row r="13" spans="1:6" x14ac:dyDescent="0.3">
      <c r="A13">
        <v>2021</v>
      </c>
      <c r="B13" t="s">
        <v>25</v>
      </c>
      <c r="C13" t="s">
        <v>232</v>
      </c>
      <c r="D13" t="s">
        <v>98</v>
      </c>
      <c r="E13">
        <v>3219</v>
      </c>
      <c r="F13">
        <v>20.100000000000001</v>
      </c>
    </row>
    <row r="14" spans="1:6" x14ac:dyDescent="0.3">
      <c r="A14">
        <v>2021</v>
      </c>
      <c r="B14" t="s">
        <v>25</v>
      </c>
      <c r="C14" t="s">
        <v>232</v>
      </c>
      <c r="D14" t="s">
        <v>99</v>
      </c>
      <c r="E14">
        <v>9580</v>
      </c>
      <c r="F14">
        <v>59.7</v>
      </c>
    </row>
    <row r="15" spans="1:6" x14ac:dyDescent="0.3">
      <c r="A15">
        <v>2021</v>
      </c>
      <c r="B15" t="s">
        <v>25</v>
      </c>
      <c r="C15" t="s">
        <v>232</v>
      </c>
      <c r="D15" t="s">
        <v>100</v>
      </c>
      <c r="E15">
        <v>1837</v>
      </c>
      <c r="F15">
        <v>11.4</v>
      </c>
    </row>
    <row r="16" spans="1:6" x14ac:dyDescent="0.3">
      <c r="A16">
        <v>2021</v>
      </c>
      <c r="B16" t="s">
        <v>25</v>
      </c>
      <c r="C16" t="s">
        <v>232</v>
      </c>
      <c r="D16" t="s">
        <v>101</v>
      </c>
      <c r="E16">
        <v>1409</v>
      </c>
      <c r="F16">
        <v>8.8000000000000007</v>
      </c>
    </row>
    <row r="17" spans="1:6" x14ac:dyDescent="0.3">
      <c r="A17">
        <v>2021</v>
      </c>
      <c r="B17" t="s">
        <v>25</v>
      </c>
      <c r="C17" t="s">
        <v>233</v>
      </c>
      <c r="D17" t="s">
        <v>102</v>
      </c>
      <c r="E17">
        <v>2816</v>
      </c>
      <c r="F17">
        <v>12.7</v>
      </c>
    </row>
    <row r="18" spans="1:6" x14ac:dyDescent="0.3">
      <c r="A18">
        <v>2021</v>
      </c>
      <c r="B18" t="s">
        <v>25</v>
      </c>
      <c r="C18" t="s">
        <v>233</v>
      </c>
      <c r="D18" t="s">
        <v>103</v>
      </c>
      <c r="E18">
        <v>1858</v>
      </c>
      <c r="F18">
        <v>8.4</v>
      </c>
    </row>
    <row r="19" spans="1:6" x14ac:dyDescent="0.3">
      <c r="A19">
        <v>2021</v>
      </c>
      <c r="B19" t="s">
        <v>25</v>
      </c>
      <c r="C19" t="s">
        <v>233</v>
      </c>
      <c r="D19" t="s">
        <v>104</v>
      </c>
      <c r="E19">
        <v>1465</v>
      </c>
      <c r="F19">
        <v>6.6</v>
      </c>
    </row>
    <row r="20" spans="1:6" x14ac:dyDescent="0.3">
      <c r="A20">
        <v>2021</v>
      </c>
      <c r="B20" t="s">
        <v>25</v>
      </c>
      <c r="C20" t="s">
        <v>233</v>
      </c>
      <c r="D20" t="s">
        <v>105</v>
      </c>
      <c r="E20">
        <v>9124</v>
      </c>
      <c r="F20">
        <v>41.1</v>
      </c>
    </row>
    <row r="21" spans="1:6" x14ac:dyDescent="0.3">
      <c r="A21">
        <v>2021</v>
      </c>
      <c r="B21" t="s">
        <v>25</v>
      </c>
      <c r="C21" t="s">
        <v>233</v>
      </c>
      <c r="D21" t="s">
        <v>106</v>
      </c>
      <c r="E21">
        <v>5663</v>
      </c>
      <c r="F21">
        <v>25.5</v>
      </c>
    </row>
    <row r="22" spans="1:6" x14ac:dyDescent="0.3">
      <c r="A22">
        <v>2021</v>
      </c>
      <c r="B22" t="s">
        <v>25</v>
      </c>
      <c r="C22" t="s">
        <v>233</v>
      </c>
      <c r="D22" t="s">
        <v>107</v>
      </c>
      <c r="E22">
        <v>23</v>
      </c>
      <c r="F22">
        <v>0.1</v>
      </c>
    </row>
    <row r="23" spans="1:6" x14ac:dyDescent="0.3">
      <c r="A23">
        <v>2021</v>
      </c>
      <c r="B23" t="s">
        <v>25</v>
      </c>
      <c r="C23" t="s">
        <v>233</v>
      </c>
      <c r="D23" t="s">
        <v>108</v>
      </c>
      <c r="E23">
        <v>1234</v>
      </c>
      <c r="F23">
        <v>5.6</v>
      </c>
    </row>
    <row r="24" spans="1:6" x14ac:dyDescent="0.3">
      <c r="A24">
        <v>2021</v>
      </c>
      <c r="B24" t="s">
        <v>25</v>
      </c>
      <c r="C24" t="s">
        <v>234</v>
      </c>
      <c r="D24" t="s">
        <v>109</v>
      </c>
      <c r="E24">
        <v>7623</v>
      </c>
      <c r="F24">
        <v>49.2</v>
      </c>
    </row>
    <row r="25" spans="1:6" x14ac:dyDescent="0.3">
      <c r="A25">
        <v>2021</v>
      </c>
      <c r="B25" t="s">
        <v>25</v>
      </c>
      <c r="C25" t="s">
        <v>234</v>
      </c>
      <c r="D25" t="s">
        <v>110</v>
      </c>
      <c r="E25">
        <v>933</v>
      </c>
      <c r="F25">
        <v>6</v>
      </c>
    </row>
    <row r="26" spans="1:6" x14ac:dyDescent="0.3">
      <c r="A26">
        <v>2021</v>
      </c>
      <c r="B26" t="s">
        <v>25</v>
      </c>
      <c r="C26" t="s">
        <v>234</v>
      </c>
      <c r="D26" t="s">
        <v>111</v>
      </c>
      <c r="E26">
        <v>458</v>
      </c>
      <c r="F26">
        <v>3</v>
      </c>
    </row>
    <row r="27" spans="1:6" x14ac:dyDescent="0.3">
      <c r="A27">
        <v>2021</v>
      </c>
      <c r="B27" t="s">
        <v>25</v>
      </c>
      <c r="C27" t="s">
        <v>234</v>
      </c>
      <c r="D27" t="s">
        <v>112</v>
      </c>
      <c r="E27">
        <v>3150</v>
      </c>
      <c r="F27">
        <v>20.3</v>
      </c>
    </row>
    <row r="28" spans="1:6" x14ac:dyDescent="0.3">
      <c r="A28">
        <v>2021</v>
      </c>
      <c r="B28" t="s">
        <v>25</v>
      </c>
      <c r="C28" t="s">
        <v>234</v>
      </c>
      <c r="D28" t="s">
        <v>113</v>
      </c>
      <c r="E28">
        <v>1627</v>
      </c>
      <c r="F28">
        <v>10.5</v>
      </c>
    </row>
    <row r="29" spans="1:6" x14ac:dyDescent="0.3">
      <c r="A29">
        <v>2021</v>
      </c>
      <c r="B29" t="s">
        <v>25</v>
      </c>
      <c r="C29" t="s">
        <v>234</v>
      </c>
      <c r="D29" t="s">
        <v>114</v>
      </c>
      <c r="E29">
        <v>1360</v>
      </c>
      <c r="F29">
        <v>8.8000000000000007</v>
      </c>
    </row>
    <row r="30" spans="1:6" x14ac:dyDescent="0.3">
      <c r="A30">
        <v>2021</v>
      </c>
      <c r="B30" t="s">
        <v>25</v>
      </c>
      <c r="C30" t="s">
        <v>234</v>
      </c>
      <c r="D30" t="s">
        <v>115</v>
      </c>
      <c r="E30">
        <v>309</v>
      </c>
      <c r="F30">
        <v>2</v>
      </c>
    </row>
    <row r="31" spans="1:6" x14ac:dyDescent="0.3">
      <c r="A31">
        <v>2021</v>
      </c>
      <c r="B31" t="s">
        <v>25</v>
      </c>
      <c r="C31" t="s">
        <v>234</v>
      </c>
      <c r="D31" t="s">
        <v>116</v>
      </c>
      <c r="E31">
        <v>46</v>
      </c>
      <c r="F31">
        <v>0.3</v>
      </c>
    </row>
    <row r="32" spans="1:6" x14ac:dyDescent="0.3">
      <c r="A32">
        <v>2021</v>
      </c>
      <c r="B32" t="s">
        <v>24</v>
      </c>
      <c r="C32" t="s">
        <v>230</v>
      </c>
      <c r="D32" t="s">
        <v>87</v>
      </c>
      <c r="E32">
        <v>5302</v>
      </c>
      <c r="F32">
        <v>27.5</v>
      </c>
    </row>
    <row r="33" spans="1:6" x14ac:dyDescent="0.3">
      <c r="A33">
        <v>2021</v>
      </c>
      <c r="B33" t="s">
        <v>24</v>
      </c>
      <c r="C33" t="s">
        <v>230</v>
      </c>
      <c r="D33" t="s">
        <v>88</v>
      </c>
      <c r="E33">
        <v>3386</v>
      </c>
      <c r="F33">
        <v>17.600000000000001</v>
      </c>
    </row>
    <row r="34" spans="1:6" x14ac:dyDescent="0.3">
      <c r="A34">
        <v>2021</v>
      </c>
      <c r="B34" t="s">
        <v>24</v>
      </c>
      <c r="C34" t="s">
        <v>230</v>
      </c>
      <c r="D34" t="s">
        <v>89</v>
      </c>
      <c r="E34">
        <v>7035</v>
      </c>
      <c r="F34">
        <v>36.5</v>
      </c>
    </row>
    <row r="35" spans="1:6" x14ac:dyDescent="0.3">
      <c r="A35">
        <v>2021</v>
      </c>
      <c r="B35" t="s">
        <v>24</v>
      </c>
      <c r="C35" t="s">
        <v>230</v>
      </c>
      <c r="D35" t="s">
        <v>90</v>
      </c>
      <c r="E35">
        <v>639</v>
      </c>
      <c r="F35">
        <v>3.3</v>
      </c>
    </row>
    <row r="36" spans="1:6" x14ac:dyDescent="0.3">
      <c r="A36">
        <v>2021</v>
      </c>
      <c r="B36" t="s">
        <v>24</v>
      </c>
      <c r="C36" t="s">
        <v>230</v>
      </c>
      <c r="D36" t="s">
        <v>91</v>
      </c>
      <c r="E36">
        <v>246</v>
      </c>
      <c r="F36">
        <v>1.3</v>
      </c>
    </row>
    <row r="37" spans="1:6" x14ac:dyDescent="0.3">
      <c r="A37">
        <v>2021</v>
      </c>
      <c r="B37" t="s">
        <v>24</v>
      </c>
      <c r="C37" t="s">
        <v>230</v>
      </c>
      <c r="D37" t="s">
        <v>92</v>
      </c>
      <c r="E37">
        <v>46</v>
      </c>
      <c r="F37">
        <v>0.2</v>
      </c>
    </row>
    <row r="38" spans="1:6" x14ac:dyDescent="0.3">
      <c r="A38">
        <v>2021</v>
      </c>
      <c r="B38" t="s">
        <v>24</v>
      </c>
      <c r="C38" t="s">
        <v>230</v>
      </c>
      <c r="D38" t="s">
        <v>93</v>
      </c>
      <c r="E38">
        <v>1734</v>
      </c>
      <c r="F38">
        <v>9</v>
      </c>
    </row>
    <row r="39" spans="1:6" x14ac:dyDescent="0.3">
      <c r="A39">
        <v>2021</v>
      </c>
      <c r="B39" t="s">
        <v>24</v>
      </c>
      <c r="C39" t="s">
        <v>230</v>
      </c>
      <c r="D39" t="s">
        <v>94</v>
      </c>
      <c r="E39">
        <v>852</v>
      </c>
      <c r="F39">
        <v>4.4000000000000004</v>
      </c>
    </row>
    <row r="40" spans="1:6" x14ac:dyDescent="0.3">
      <c r="A40">
        <v>2021</v>
      </c>
      <c r="B40" t="s">
        <v>24</v>
      </c>
      <c r="C40" t="s">
        <v>230</v>
      </c>
      <c r="D40" t="s">
        <v>95</v>
      </c>
      <c r="E40">
        <v>42</v>
      </c>
      <c r="F40">
        <v>0.2</v>
      </c>
    </row>
    <row r="41" spans="1:6" x14ac:dyDescent="0.3">
      <c r="A41">
        <v>2021</v>
      </c>
      <c r="B41" t="s">
        <v>24</v>
      </c>
      <c r="C41" t="s">
        <v>231</v>
      </c>
      <c r="D41" t="s">
        <v>96</v>
      </c>
      <c r="E41">
        <v>9168</v>
      </c>
      <c r="F41">
        <v>47.5</v>
      </c>
    </row>
    <row r="42" spans="1:6" x14ac:dyDescent="0.3">
      <c r="A42">
        <v>2021</v>
      </c>
      <c r="B42" t="s">
        <v>24</v>
      </c>
      <c r="C42" t="s">
        <v>231</v>
      </c>
      <c r="D42" t="s">
        <v>97</v>
      </c>
      <c r="E42">
        <v>10114</v>
      </c>
      <c r="F42">
        <v>52.5</v>
      </c>
    </row>
    <row r="43" spans="1:6" x14ac:dyDescent="0.3">
      <c r="A43">
        <v>2021</v>
      </c>
      <c r="B43" t="s">
        <v>24</v>
      </c>
      <c r="C43" t="s">
        <v>232</v>
      </c>
      <c r="D43" t="s">
        <v>98</v>
      </c>
      <c r="E43">
        <v>2622</v>
      </c>
      <c r="F43">
        <v>19.7</v>
      </c>
    </row>
    <row r="44" spans="1:6" x14ac:dyDescent="0.3">
      <c r="A44">
        <v>2021</v>
      </c>
      <c r="B44" t="s">
        <v>24</v>
      </c>
      <c r="C44" t="s">
        <v>232</v>
      </c>
      <c r="D44" t="s">
        <v>99</v>
      </c>
      <c r="E44">
        <v>8391</v>
      </c>
      <c r="F44">
        <v>63</v>
      </c>
    </row>
    <row r="45" spans="1:6" x14ac:dyDescent="0.3">
      <c r="A45">
        <v>2021</v>
      </c>
      <c r="B45" t="s">
        <v>24</v>
      </c>
      <c r="C45" t="s">
        <v>232</v>
      </c>
      <c r="D45" t="s">
        <v>100</v>
      </c>
      <c r="E45">
        <v>1493</v>
      </c>
      <c r="F45">
        <v>11.2</v>
      </c>
    </row>
    <row r="46" spans="1:6" x14ac:dyDescent="0.3">
      <c r="A46">
        <v>2021</v>
      </c>
      <c r="B46" t="s">
        <v>24</v>
      </c>
      <c r="C46" t="s">
        <v>232</v>
      </c>
      <c r="D46" t="s">
        <v>101</v>
      </c>
      <c r="E46">
        <v>810</v>
      </c>
      <c r="F46">
        <v>6.1</v>
      </c>
    </row>
    <row r="47" spans="1:6" x14ac:dyDescent="0.3">
      <c r="A47">
        <v>2021</v>
      </c>
      <c r="B47" t="s">
        <v>24</v>
      </c>
      <c r="C47" t="s">
        <v>233</v>
      </c>
      <c r="D47" t="s">
        <v>102</v>
      </c>
      <c r="E47">
        <v>2603</v>
      </c>
      <c r="F47">
        <v>13.8</v>
      </c>
    </row>
    <row r="48" spans="1:6" x14ac:dyDescent="0.3">
      <c r="A48">
        <v>2021</v>
      </c>
      <c r="B48" t="s">
        <v>24</v>
      </c>
      <c r="C48" t="s">
        <v>233</v>
      </c>
      <c r="D48" t="s">
        <v>103</v>
      </c>
      <c r="E48">
        <v>1731</v>
      </c>
      <c r="F48">
        <v>9.1999999999999993</v>
      </c>
    </row>
    <row r="49" spans="1:6" x14ac:dyDescent="0.3">
      <c r="A49">
        <v>2021</v>
      </c>
      <c r="B49" t="s">
        <v>24</v>
      </c>
      <c r="C49" t="s">
        <v>233</v>
      </c>
      <c r="D49" t="s">
        <v>104</v>
      </c>
      <c r="E49">
        <v>1492</v>
      </c>
      <c r="F49">
        <v>7.9</v>
      </c>
    </row>
    <row r="50" spans="1:6" x14ac:dyDescent="0.3">
      <c r="A50">
        <v>2021</v>
      </c>
      <c r="B50" t="s">
        <v>24</v>
      </c>
      <c r="C50" t="s">
        <v>233</v>
      </c>
      <c r="D50" t="s">
        <v>105</v>
      </c>
      <c r="E50">
        <v>9583</v>
      </c>
      <c r="F50">
        <v>50.7</v>
      </c>
    </row>
    <row r="51" spans="1:6" x14ac:dyDescent="0.3">
      <c r="A51">
        <v>2021</v>
      </c>
      <c r="B51" t="s">
        <v>24</v>
      </c>
      <c r="C51" t="s">
        <v>233</v>
      </c>
      <c r="D51" t="s">
        <v>106</v>
      </c>
      <c r="E51">
        <v>2449</v>
      </c>
      <c r="F51">
        <v>13</v>
      </c>
    </row>
    <row r="52" spans="1:6" x14ac:dyDescent="0.3">
      <c r="A52">
        <v>2021</v>
      </c>
      <c r="B52" t="s">
        <v>24</v>
      </c>
      <c r="C52" t="s">
        <v>233</v>
      </c>
      <c r="D52" t="s">
        <v>107</v>
      </c>
      <c r="E52">
        <v>4</v>
      </c>
      <c r="F52">
        <v>0</v>
      </c>
    </row>
    <row r="53" spans="1:6" x14ac:dyDescent="0.3">
      <c r="A53">
        <v>2021</v>
      </c>
      <c r="B53" t="s">
        <v>24</v>
      </c>
      <c r="C53" t="s">
        <v>233</v>
      </c>
      <c r="D53" t="s">
        <v>108</v>
      </c>
      <c r="E53">
        <v>1029</v>
      </c>
      <c r="F53">
        <v>5.4</v>
      </c>
    </row>
    <row r="54" spans="1:6" x14ac:dyDescent="0.3">
      <c r="A54">
        <v>2021</v>
      </c>
      <c r="B54" t="s">
        <v>24</v>
      </c>
      <c r="C54" t="s">
        <v>234</v>
      </c>
      <c r="D54" t="s">
        <v>109</v>
      </c>
      <c r="E54">
        <v>5980</v>
      </c>
      <c r="F54">
        <v>48.2</v>
      </c>
    </row>
    <row r="55" spans="1:6" x14ac:dyDescent="0.3">
      <c r="A55">
        <v>2021</v>
      </c>
      <c r="B55" t="s">
        <v>24</v>
      </c>
      <c r="C55" t="s">
        <v>234</v>
      </c>
      <c r="D55" t="s">
        <v>110</v>
      </c>
      <c r="E55">
        <v>866</v>
      </c>
      <c r="F55">
        <v>7</v>
      </c>
    </row>
    <row r="56" spans="1:6" x14ac:dyDescent="0.3">
      <c r="A56">
        <v>2021</v>
      </c>
      <c r="B56" t="s">
        <v>24</v>
      </c>
      <c r="C56" t="s">
        <v>234</v>
      </c>
      <c r="D56" t="s">
        <v>111</v>
      </c>
      <c r="E56">
        <v>377</v>
      </c>
      <c r="F56">
        <v>3</v>
      </c>
    </row>
    <row r="57" spans="1:6" x14ac:dyDescent="0.3">
      <c r="A57">
        <v>2021</v>
      </c>
      <c r="B57" t="s">
        <v>24</v>
      </c>
      <c r="C57" t="s">
        <v>234</v>
      </c>
      <c r="D57" t="s">
        <v>112</v>
      </c>
      <c r="E57">
        <v>2411</v>
      </c>
      <c r="F57">
        <v>19.5</v>
      </c>
    </row>
    <row r="58" spans="1:6" x14ac:dyDescent="0.3">
      <c r="A58">
        <v>2021</v>
      </c>
      <c r="B58" t="s">
        <v>24</v>
      </c>
      <c r="C58" t="s">
        <v>234</v>
      </c>
      <c r="D58" t="s">
        <v>113</v>
      </c>
      <c r="E58">
        <v>1384</v>
      </c>
      <c r="F58">
        <v>11.2</v>
      </c>
    </row>
    <row r="59" spans="1:6" x14ac:dyDescent="0.3">
      <c r="A59">
        <v>2021</v>
      </c>
      <c r="B59" t="s">
        <v>24</v>
      </c>
      <c r="C59" t="s">
        <v>234</v>
      </c>
      <c r="D59" t="s">
        <v>114</v>
      </c>
      <c r="E59">
        <v>1054</v>
      </c>
      <c r="F59">
        <v>8.5</v>
      </c>
    </row>
    <row r="60" spans="1:6" x14ac:dyDescent="0.3">
      <c r="A60">
        <v>2021</v>
      </c>
      <c r="B60" t="s">
        <v>24</v>
      </c>
      <c r="C60" t="s">
        <v>234</v>
      </c>
      <c r="D60" t="s">
        <v>115</v>
      </c>
      <c r="E60">
        <v>273</v>
      </c>
      <c r="F60">
        <v>2.2000000000000002</v>
      </c>
    </row>
    <row r="61" spans="1:6" x14ac:dyDescent="0.3">
      <c r="A61">
        <v>2021</v>
      </c>
      <c r="B61" t="s">
        <v>24</v>
      </c>
      <c r="C61" t="s">
        <v>234</v>
      </c>
      <c r="D61" t="s">
        <v>116</v>
      </c>
      <c r="E61">
        <v>49</v>
      </c>
      <c r="F61">
        <v>0.4</v>
      </c>
    </row>
    <row r="62" spans="1:6" x14ac:dyDescent="0.3">
      <c r="A62">
        <v>2022</v>
      </c>
      <c r="B62" t="s">
        <v>25</v>
      </c>
      <c r="C62" t="s">
        <v>230</v>
      </c>
      <c r="D62" t="s">
        <v>87</v>
      </c>
      <c r="E62">
        <v>6443</v>
      </c>
      <c r="F62">
        <v>30.5</v>
      </c>
    </row>
    <row r="63" spans="1:6" x14ac:dyDescent="0.3">
      <c r="A63">
        <v>2022</v>
      </c>
      <c r="B63" t="s">
        <v>25</v>
      </c>
      <c r="C63" t="s">
        <v>230</v>
      </c>
      <c r="D63" t="s">
        <v>88</v>
      </c>
      <c r="E63">
        <v>3943</v>
      </c>
      <c r="F63">
        <v>18.7</v>
      </c>
    </row>
    <row r="64" spans="1:6" x14ac:dyDescent="0.3">
      <c r="A64">
        <v>2022</v>
      </c>
      <c r="B64" t="s">
        <v>25</v>
      </c>
      <c r="C64" t="s">
        <v>230</v>
      </c>
      <c r="D64" t="s">
        <v>89</v>
      </c>
      <c r="E64">
        <v>7641</v>
      </c>
      <c r="F64">
        <v>36.200000000000003</v>
      </c>
    </row>
    <row r="65" spans="1:6" x14ac:dyDescent="0.3">
      <c r="A65">
        <v>2022</v>
      </c>
      <c r="B65" t="s">
        <v>25</v>
      </c>
      <c r="C65" t="s">
        <v>230</v>
      </c>
      <c r="D65" t="s">
        <v>90</v>
      </c>
      <c r="E65">
        <v>613</v>
      </c>
      <c r="F65">
        <v>2.9</v>
      </c>
    </row>
    <row r="66" spans="1:6" x14ac:dyDescent="0.3">
      <c r="A66">
        <v>2022</v>
      </c>
      <c r="B66" t="s">
        <v>25</v>
      </c>
      <c r="C66" t="s">
        <v>230</v>
      </c>
      <c r="D66" t="s">
        <v>91</v>
      </c>
      <c r="E66">
        <v>249</v>
      </c>
      <c r="F66">
        <v>1.2</v>
      </c>
    </row>
    <row r="67" spans="1:6" x14ac:dyDescent="0.3">
      <c r="A67">
        <v>2022</v>
      </c>
      <c r="B67" t="s">
        <v>25</v>
      </c>
      <c r="C67" t="s">
        <v>230</v>
      </c>
      <c r="D67" t="s">
        <v>92</v>
      </c>
      <c r="E67">
        <v>38</v>
      </c>
      <c r="F67">
        <v>0.2</v>
      </c>
    </row>
    <row r="68" spans="1:6" x14ac:dyDescent="0.3">
      <c r="A68">
        <v>2022</v>
      </c>
      <c r="B68" t="s">
        <v>25</v>
      </c>
      <c r="C68" t="s">
        <v>230</v>
      </c>
      <c r="D68" t="s">
        <v>93</v>
      </c>
      <c r="E68">
        <v>1368</v>
      </c>
      <c r="F68">
        <v>6.5</v>
      </c>
    </row>
    <row r="69" spans="1:6" x14ac:dyDescent="0.3">
      <c r="A69">
        <v>2022</v>
      </c>
      <c r="B69" t="s">
        <v>25</v>
      </c>
      <c r="C69" t="s">
        <v>230</v>
      </c>
      <c r="D69" t="s">
        <v>94</v>
      </c>
      <c r="E69">
        <v>819</v>
      </c>
      <c r="F69">
        <v>3.9</v>
      </c>
    </row>
    <row r="70" spans="1:6" x14ac:dyDescent="0.3">
      <c r="A70">
        <v>2022</v>
      </c>
      <c r="B70" t="s">
        <v>25</v>
      </c>
      <c r="C70" t="s">
        <v>230</v>
      </c>
      <c r="D70" t="s">
        <v>95</v>
      </c>
      <c r="E70">
        <v>21</v>
      </c>
      <c r="F70">
        <v>0.1</v>
      </c>
    </row>
    <row r="71" spans="1:6" x14ac:dyDescent="0.3">
      <c r="A71">
        <v>2022</v>
      </c>
      <c r="B71" t="s">
        <v>25</v>
      </c>
      <c r="C71" t="s">
        <v>231</v>
      </c>
      <c r="D71" t="s">
        <v>96</v>
      </c>
      <c r="E71">
        <v>9582</v>
      </c>
      <c r="F71">
        <v>45.3</v>
      </c>
    </row>
    <row r="72" spans="1:6" x14ac:dyDescent="0.3">
      <c r="A72">
        <v>2022</v>
      </c>
      <c r="B72" t="s">
        <v>25</v>
      </c>
      <c r="C72" t="s">
        <v>231</v>
      </c>
      <c r="D72" t="s">
        <v>97</v>
      </c>
      <c r="E72">
        <v>11553</v>
      </c>
      <c r="F72">
        <v>54.7</v>
      </c>
    </row>
    <row r="73" spans="1:6" x14ac:dyDescent="0.3">
      <c r="A73">
        <v>2022</v>
      </c>
      <c r="B73" t="s">
        <v>25</v>
      </c>
      <c r="C73" t="s">
        <v>232</v>
      </c>
      <c r="D73" t="s">
        <v>98</v>
      </c>
      <c r="E73">
        <v>2878</v>
      </c>
      <c r="F73">
        <v>19.399999999999999</v>
      </c>
    </row>
    <row r="74" spans="1:6" x14ac:dyDescent="0.3">
      <c r="A74">
        <v>2022</v>
      </c>
      <c r="B74" t="s">
        <v>25</v>
      </c>
      <c r="C74" t="s">
        <v>232</v>
      </c>
      <c r="D74" t="s">
        <v>99</v>
      </c>
      <c r="E74">
        <v>9015</v>
      </c>
      <c r="F74">
        <v>60.8</v>
      </c>
    </row>
    <row r="75" spans="1:6" x14ac:dyDescent="0.3">
      <c r="A75">
        <v>2022</v>
      </c>
      <c r="B75" t="s">
        <v>25</v>
      </c>
      <c r="C75" t="s">
        <v>232</v>
      </c>
      <c r="D75" t="s">
        <v>100</v>
      </c>
      <c r="E75">
        <v>1577</v>
      </c>
      <c r="F75">
        <v>10.6</v>
      </c>
    </row>
    <row r="76" spans="1:6" x14ac:dyDescent="0.3">
      <c r="A76">
        <v>2022</v>
      </c>
      <c r="B76" t="s">
        <v>25</v>
      </c>
      <c r="C76" t="s">
        <v>232</v>
      </c>
      <c r="D76" t="s">
        <v>101</v>
      </c>
      <c r="E76">
        <v>1356</v>
      </c>
      <c r="F76">
        <v>9.1</v>
      </c>
    </row>
    <row r="77" spans="1:6" x14ac:dyDescent="0.3">
      <c r="A77">
        <v>2022</v>
      </c>
      <c r="B77" t="s">
        <v>25</v>
      </c>
      <c r="C77" t="s">
        <v>233</v>
      </c>
      <c r="D77" t="s">
        <v>102</v>
      </c>
      <c r="E77">
        <v>2584</v>
      </c>
      <c r="F77">
        <v>12.5</v>
      </c>
    </row>
    <row r="78" spans="1:6" x14ac:dyDescent="0.3">
      <c r="A78">
        <v>2022</v>
      </c>
      <c r="B78" t="s">
        <v>25</v>
      </c>
      <c r="C78" t="s">
        <v>233</v>
      </c>
      <c r="D78" t="s">
        <v>103</v>
      </c>
      <c r="E78">
        <v>1819</v>
      </c>
      <c r="F78">
        <v>8.8000000000000007</v>
      </c>
    </row>
    <row r="79" spans="1:6" x14ac:dyDescent="0.3">
      <c r="A79">
        <v>2022</v>
      </c>
      <c r="B79" t="s">
        <v>25</v>
      </c>
      <c r="C79" t="s">
        <v>233</v>
      </c>
      <c r="D79" t="s">
        <v>104</v>
      </c>
      <c r="E79">
        <v>1192</v>
      </c>
      <c r="F79">
        <v>5.8</v>
      </c>
    </row>
    <row r="80" spans="1:6" x14ac:dyDescent="0.3">
      <c r="A80">
        <v>2022</v>
      </c>
      <c r="B80" t="s">
        <v>25</v>
      </c>
      <c r="C80" t="s">
        <v>233</v>
      </c>
      <c r="D80" t="s">
        <v>105</v>
      </c>
      <c r="E80">
        <v>8168</v>
      </c>
      <c r="F80">
        <v>39.4</v>
      </c>
    </row>
    <row r="81" spans="1:6" x14ac:dyDescent="0.3">
      <c r="A81">
        <v>2022</v>
      </c>
      <c r="B81" t="s">
        <v>25</v>
      </c>
      <c r="C81" t="s">
        <v>233</v>
      </c>
      <c r="D81" t="s">
        <v>106</v>
      </c>
      <c r="E81">
        <v>5643</v>
      </c>
      <c r="F81">
        <v>27.2</v>
      </c>
    </row>
    <row r="82" spans="1:6" x14ac:dyDescent="0.3">
      <c r="A82">
        <v>2022</v>
      </c>
      <c r="B82" t="s">
        <v>25</v>
      </c>
      <c r="C82" t="s">
        <v>233</v>
      </c>
      <c r="D82" t="s">
        <v>107</v>
      </c>
      <c r="E82">
        <v>48</v>
      </c>
      <c r="F82">
        <v>0.2</v>
      </c>
    </row>
    <row r="83" spans="1:6" x14ac:dyDescent="0.3">
      <c r="A83">
        <v>2022</v>
      </c>
      <c r="B83" t="s">
        <v>25</v>
      </c>
      <c r="C83" t="s">
        <v>233</v>
      </c>
      <c r="D83" t="s">
        <v>108</v>
      </c>
      <c r="E83">
        <v>1269</v>
      </c>
      <c r="F83">
        <v>6.1</v>
      </c>
    </row>
    <row r="84" spans="1:6" x14ac:dyDescent="0.3">
      <c r="A84">
        <v>2022</v>
      </c>
      <c r="B84" t="s">
        <v>25</v>
      </c>
      <c r="C84" t="s">
        <v>234</v>
      </c>
      <c r="D84" t="s">
        <v>109</v>
      </c>
      <c r="E84">
        <v>7444</v>
      </c>
      <c r="F84">
        <v>52.3</v>
      </c>
    </row>
    <row r="85" spans="1:6" x14ac:dyDescent="0.3">
      <c r="A85">
        <v>2022</v>
      </c>
      <c r="B85" t="s">
        <v>25</v>
      </c>
      <c r="C85" t="s">
        <v>234</v>
      </c>
      <c r="D85" t="s">
        <v>110</v>
      </c>
      <c r="E85">
        <v>857</v>
      </c>
      <c r="F85">
        <v>6</v>
      </c>
    </row>
    <row r="86" spans="1:6" x14ac:dyDescent="0.3">
      <c r="A86">
        <v>2022</v>
      </c>
      <c r="B86" t="s">
        <v>25</v>
      </c>
      <c r="C86" t="s">
        <v>234</v>
      </c>
      <c r="D86" t="s">
        <v>111</v>
      </c>
      <c r="E86">
        <v>396</v>
      </c>
      <c r="F86">
        <v>2.8</v>
      </c>
    </row>
    <row r="87" spans="1:6" x14ac:dyDescent="0.3">
      <c r="A87">
        <v>2022</v>
      </c>
      <c r="B87" t="s">
        <v>25</v>
      </c>
      <c r="C87" t="s">
        <v>234</v>
      </c>
      <c r="D87" t="s">
        <v>112</v>
      </c>
      <c r="E87">
        <v>2696</v>
      </c>
      <c r="F87">
        <v>18.899999999999999</v>
      </c>
    </row>
    <row r="88" spans="1:6" x14ac:dyDescent="0.3">
      <c r="A88">
        <v>2022</v>
      </c>
      <c r="B88" t="s">
        <v>25</v>
      </c>
      <c r="C88" t="s">
        <v>234</v>
      </c>
      <c r="D88" t="s">
        <v>113</v>
      </c>
      <c r="E88">
        <v>1419</v>
      </c>
      <c r="F88">
        <v>10</v>
      </c>
    </row>
    <row r="89" spans="1:6" x14ac:dyDescent="0.3">
      <c r="A89">
        <v>2022</v>
      </c>
      <c r="B89" t="s">
        <v>25</v>
      </c>
      <c r="C89" t="s">
        <v>234</v>
      </c>
      <c r="D89" t="s">
        <v>114</v>
      </c>
      <c r="E89">
        <v>1133</v>
      </c>
      <c r="F89">
        <v>8</v>
      </c>
    </row>
    <row r="90" spans="1:6" x14ac:dyDescent="0.3">
      <c r="A90">
        <v>2022</v>
      </c>
      <c r="B90" t="s">
        <v>25</v>
      </c>
      <c r="C90" t="s">
        <v>234</v>
      </c>
      <c r="D90" t="s">
        <v>115</v>
      </c>
      <c r="E90">
        <v>247</v>
      </c>
      <c r="F90">
        <v>1.7</v>
      </c>
    </row>
    <row r="91" spans="1:6" x14ac:dyDescent="0.3">
      <c r="A91">
        <v>2022</v>
      </c>
      <c r="B91" t="s">
        <v>25</v>
      </c>
      <c r="C91" t="s">
        <v>234</v>
      </c>
      <c r="D91" t="s">
        <v>116</v>
      </c>
      <c r="E91">
        <v>54</v>
      </c>
      <c r="F91">
        <v>0.4</v>
      </c>
    </row>
    <row r="92" spans="1:6" x14ac:dyDescent="0.3">
      <c r="A92">
        <v>2022</v>
      </c>
      <c r="B92" t="s">
        <v>24</v>
      </c>
      <c r="C92" t="s">
        <v>230</v>
      </c>
      <c r="D92" t="s">
        <v>87</v>
      </c>
      <c r="E92">
        <v>5557</v>
      </c>
      <c r="F92">
        <v>25.8</v>
      </c>
    </row>
    <row r="93" spans="1:6" x14ac:dyDescent="0.3">
      <c r="A93">
        <v>2022</v>
      </c>
      <c r="B93" t="s">
        <v>24</v>
      </c>
      <c r="C93" t="s">
        <v>230</v>
      </c>
      <c r="D93" t="s">
        <v>88</v>
      </c>
      <c r="E93">
        <v>3682</v>
      </c>
      <c r="F93">
        <v>17.100000000000001</v>
      </c>
    </row>
    <row r="94" spans="1:6" x14ac:dyDescent="0.3">
      <c r="A94">
        <v>2022</v>
      </c>
      <c r="B94" t="s">
        <v>24</v>
      </c>
      <c r="C94" t="s">
        <v>230</v>
      </c>
      <c r="D94" t="s">
        <v>89</v>
      </c>
      <c r="E94">
        <v>8262</v>
      </c>
      <c r="F94">
        <v>38.299999999999997</v>
      </c>
    </row>
    <row r="95" spans="1:6" x14ac:dyDescent="0.3">
      <c r="A95">
        <v>2022</v>
      </c>
      <c r="B95" t="s">
        <v>24</v>
      </c>
      <c r="C95" t="s">
        <v>230</v>
      </c>
      <c r="D95" t="s">
        <v>90</v>
      </c>
      <c r="E95">
        <v>633</v>
      </c>
      <c r="F95">
        <v>2.9</v>
      </c>
    </row>
    <row r="96" spans="1:6" x14ac:dyDescent="0.3">
      <c r="A96">
        <v>2022</v>
      </c>
      <c r="B96" t="s">
        <v>24</v>
      </c>
      <c r="C96" t="s">
        <v>230</v>
      </c>
      <c r="D96" t="s">
        <v>91</v>
      </c>
      <c r="E96">
        <v>236</v>
      </c>
      <c r="F96">
        <v>1.1000000000000001</v>
      </c>
    </row>
    <row r="97" spans="1:6" x14ac:dyDescent="0.3">
      <c r="A97">
        <v>2022</v>
      </c>
      <c r="B97" t="s">
        <v>24</v>
      </c>
      <c r="C97" t="s">
        <v>230</v>
      </c>
      <c r="D97" t="s">
        <v>92</v>
      </c>
      <c r="E97">
        <v>37</v>
      </c>
      <c r="F97">
        <v>0.2</v>
      </c>
    </row>
    <row r="98" spans="1:6" x14ac:dyDescent="0.3">
      <c r="A98">
        <v>2022</v>
      </c>
      <c r="B98" t="s">
        <v>24</v>
      </c>
      <c r="C98" t="s">
        <v>230</v>
      </c>
      <c r="D98" t="s">
        <v>93</v>
      </c>
      <c r="E98">
        <v>2196</v>
      </c>
      <c r="F98">
        <v>10.199999999999999</v>
      </c>
    </row>
    <row r="99" spans="1:6" x14ac:dyDescent="0.3">
      <c r="A99">
        <v>2022</v>
      </c>
      <c r="B99" t="s">
        <v>24</v>
      </c>
      <c r="C99" t="s">
        <v>230</v>
      </c>
      <c r="D99" t="s">
        <v>94</v>
      </c>
      <c r="E99">
        <v>917</v>
      </c>
      <c r="F99">
        <v>4.3</v>
      </c>
    </row>
    <row r="100" spans="1:6" x14ac:dyDescent="0.3">
      <c r="A100">
        <v>2022</v>
      </c>
      <c r="B100" t="s">
        <v>24</v>
      </c>
      <c r="C100" t="s">
        <v>230</v>
      </c>
      <c r="D100" t="s">
        <v>95</v>
      </c>
      <c r="E100">
        <v>26</v>
      </c>
      <c r="F100">
        <v>0.1</v>
      </c>
    </row>
    <row r="101" spans="1:6" x14ac:dyDescent="0.3">
      <c r="A101">
        <v>2022</v>
      </c>
      <c r="B101" t="s">
        <v>24</v>
      </c>
      <c r="C101" t="s">
        <v>231</v>
      </c>
      <c r="D101" t="s">
        <v>96</v>
      </c>
      <c r="E101">
        <v>10432</v>
      </c>
      <c r="F101">
        <v>48.4</v>
      </c>
    </row>
    <row r="102" spans="1:6" x14ac:dyDescent="0.3">
      <c r="A102">
        <v>2022</v>
      </c>
      <c r="B102" t="s">
        <v>24</v>
      </c>
      <c r="C102" t="s">
        <v>231</v>
      </c>
      <c r="D102" t="s">
        <v>97</v>
      </c>
      <c r="E102">
        <v>11114</v>
      </c>
      <c r="F102">
        <v>51.6</v>
      </c>
    </row>
    <row r="103" spans="1:6" x14ac:dyDescent="0.3">
      <c r="A103">
        <v>2022</v>
      </c>
      <c r="B103" t="s">
        <v>24</v>
      </c>
      <c r="C103" t="s">
        <v>232</v>
      </c>
      <c r="D103" t="s">
        <v>98</v>
      </c>
      <c r="E103">
        <v>3051</v>
      </c>
      <c r="F103">
        <v>20.9</v>
      </c>
    </row>
    <row r="104" spans="1:6" x14ac:dyDescent="0.3">
      <c r="A104">
        <v>2022</v>
      </c>
      <c r="B104" t="s">
        <v>24</v>
      </c>
      <c r="C104" t="s">
        <v>232</v>
      </c>
      <c r="D104" t="s">
        <v>99</v>
      </c>
      <c r="E104">
        <v>9199</v>
      </c>
      <c r="F104">
        <v>63</v>
      </c>
    </row>
    <row r="105" spans="1:6" x14ac:dyDescent="0.3">
      <c r="A105">
        <v>2022</v>
      </c>
      <c r="B105" t="s">
        <v>24</v>
      </c>
      <c r="C105" t="s">
        <v>232</v>
      </c>
      <c r="D105" t="s">
        <v>100</v>
      </c>
      <c r="E105">
        <v>1470</v>
      </c>
      <c r="F105">
        <v>10.1</v>
      </c>
    </row>
    <row r="106" spans="1:6" x14ac:dyDescent="0.3">
      <c r="A106">
        <v>2022</v>
      </c>
      <c r="B106" t="s">
        <v>24</v>
      </c>
      <c r="C106" t="s">
        <v>232</v>
      </c>
      <c r="D106" t="s">
        <v>101</v>
      </c>
      <c r="E106">
        <v>879</v>
      </c>
      <c r="F106">
        <v>6</v>
      </c>
    </row>
    <row r="107" spans="1:6" x14ac:dyDescent="0.3">
      <c r="A107">
        <v>2022</v>
      </c>
      <c r="B107" t="s">
        <v>24</v>
      </c>
      <c r="C107" t="s">
        <v>233</v>
      </c>
      <c r="D107" t="s">
        <v>102</v>
      </c>
      <c r="E107">
        <v>2766</v>
      </c>
      <c r="F107">
        <v>13.1</v>
      </c>
    </row>
    <row r="108" spans="1:6" x14ac:dyDescent="0.3">
      <c r="A108">
        <v>2022</v>
      </c>
      <c r="B108" t="s">
        <v>24</v>
      </c>
      <c r="C108" t="s">
        <v>233</v>
      </c>
      <c r="D108" t="s">
        <v>103</v>
      </c>
      <c r="E108">
        <v>2052</v>
      </c>
      <c r="F108">
        <v>9.6999999999999993</v>
      </c>
    </row>
    <row r="109" spans="1:6" x14ac:dyDescent="0.3">
      <c r="A109">
        <v>2022</v>
      </c>
      <c r="B109" t="s">
        <v>24</v>
      </c>
      <c r="C109" t="s">
        <v>233</v>
      </c>
      <c r="D109" t="s">
        <v>104</v>
      </c>
      <c r="E109">
        <v>1813</v>
      </c>
      <c r="F109">
        <v>8.6</v>
      </c>
    </row>
    <row r="110" spans="1:6" x14ac:dyDescent="0.3">
      <c r="A110">
        <v>2022</v>
      </c>
      <c r="B110" t="s">
        <v>24</v>
      </c>
      <c r="C110" t="s">
        <v>233</v>
      </c>
      <c r="D110" t="s">
        <v>105</v>
      </c>
      <c r="E110">
        <v>10229</v>
      </c>
      <c r="F110">
        <v>48.4</v>
      </c>
    </row>
    <row r="111" spans="1:6" x14ac:dyDescent="0.3">
      <c r="A111">
        <v>2022</v>
      </c>
      <c r="B111" t="s">
        <v>24</v>
      </c>
      <c r="C111" t="s">
        <v>233</v>
      </c>
      <c r="D111" t="s">
        <v>106</v>
      </c>
      <c r="E111">
        <v>2845</v>
      </c>
      <c r="F111">
        <v>13.5</v>
      </c>
    </row>
    <row r="112" spans="1:6" x14ac:dyDescent="0.3">
      <c r="A112">
        <v>2022</v>
      </c>
      <c r="B112" t="s">
        <v>24</v>
      </c>
      <c r="C112" t="s">
        <v>233</v>
      </c>
      <c r="D112" t="s">
        <v>107</v>
      </c>
      <c r="E112">
        <v>7</v>
      </c>
      <c r="F112">
        <v>0</v>
      </c>
    </row>
    <row r="113" spans="1:6" x14ac:dyDescent="0.3">
      <c r="A113">
        <v>2022</v>
      </c>
      <c r="B113" t="s">
        <v>24</v>
      </c>
      <c r="C113" t="s">
        <v>233</v>
      </c>
      <c r="D113" t="s">
        <v>108</v>
      </c>
      <c r="E113">
        <v>1405</v>
      </c>
      <c r="F113">
        <v>6.7</v>
      </c>
    </row>
    <row r="114" spans="1:6" x14ac:dyDescent="0.3">
      <c r="A114">
        <v>2022</v>
      </c>
      <c r="B114" t="s">
        <v>24</v>
      </c>
      <c r="C114" t="s">
        <v>234</v>
      </c>
      <c r="D114" t="s">
        <v>109</v>
      </c>
      <c r="E114">
        <v>6928</v>
      </c>
      <c r="F114">
        <v>50.7</v>
      </c>
    </row>
    <row r="115" spans="1:6" x14ac:dyDescent="0.3">
      <c r="A115">
        <v>2022</v>
      </c>
      <c r="B115" t="s">
        <v>24</v>
      </c>
      <c r="C115" t="s">
        <v>234</v>
      </c>
      <c r="D115" t="s">
        <v>110</v>
      </c>
      <c r="E115">
        <v>879</v>
      </c>
      <c r="F115">
        <v>6.4</v>
      </c>
    </row>
    <row r="116" spans="1:6" x14ac:dyDescent="0.3">
      <c r="A116">
        <v>2022</v>
      </c>
      <c r="B116" t="s">
        <v>24</v>
      </c>
      <c r="C116" t="s">
        <v>234</v>
      </c>
      <c r="D116" t="s">
        <v>111</v>
      </c>
      <c r="E116">
        <v>445</v>
      </c>
      <c r="F116">
        <v>3.3</v>
      </c>
    </row>
    <row r="117" spans="1:6" x14ac:dyDescent="0.3">
      <c r="A117">
        <v>2022</v>
      </c>
      <c r="B117" t="s">
        <v>24</v>
      </c>
      <c r="C117" t="s">
        <v>234</v>
      </c>
      <c r="D117" t="s">
        <v>112</v>
      </c>
      <c r="E117">
        <v>2326</v>
      </c>
      <c r="F117">
        <v>17</v>
      </c>
    </row>
    <row r="118" spans="1:6" x14ac:dyDescent="0.3">
      <c r="A118">
        <v>2022</v>
      </c>
      <c r="B118" t="s">
        <v>24</v>
      </c>
      <c r="C118" t="s">
        <v>234</v>
      </c>
      <c r="D118" t="s">
        <v>113</v>
      </c>
      <c r="E118">
        <v>1774</v>
      </c>
      <c r="F118">
        <v>13</v>
      </c>
    </row>
    <row r="119" spans="1:6" x14ac:dyDescent="0.3">
      <c r="A119">
        <v>2022</v>
      </c>
      <c r="B119" t="s">
        <v>24</v>
      </c>
      <c r="C119" t="s">
        <v>234</v>
      </c>
      <c r="D119" t="s">
        <v>114</v>
      </c>
      <c r="E119">
        <v>997</v>
      </c>
      <c r="F119">
        <v>7.3</v>
      </c>
    </row>
    <row r="120" spans="1:6" x14ac:dyDescent="0.3">
      <c r="A120">
        <v>2022</v>
      </c>
      <c r="B120" t="s">
        <v>24</v>
      </c>
      <c r="C120" t="s">
        <v>234</v>
      </c>
      <c r="D120" t="s">
        <v>115</v>
      </c>
      <c r="E120">
        <v>272</v>
      </c>
      <c r="F120">
        <v>2</v>
      </c>
    </row>
    <row r="121" spans="1:6" x14ac:dyDescent="0.3">
      <c r="A121">
        <v>2022</v>
      </c>
      <c r="B121" t="s">
        <v>24</v>
      </c>
      <c r="C121" t="s">
        <v>234</v>
      </c>
      <c r="D121" t="s">
        <v>116</v>
      </c>
      <c r="E121">
        <v>40</v>
      </c>
      <c r="F121">
        <v>0.3</v>
      </c>
    </row>
    <row r="122" spans="1:6" x14ac:dyDescent="0.3">
      <c r="A122">
        <v>2023</v>
      </c>
      <c r="B122" t="s">
        <v>25</v>
      </c>
      <c r="C122" t="s">
        <v>230</v>
      </c>
      <c r="D122" t="s">
        <v>87</v>
      </c>
      <c r="E122">
        <v>6575</v>
      </c>
      <c r="F122">
        <v>30.4</v>
      </c>
    </row>
    <row r="123" spans="1:6" x14ac:dyDescent="0.3">
      <c r="A123">
        <v>2023</v>
      </c>
      <c r="B123" t="s">
        <v>25</v>
      </c>
      <c r="C123" t="s">
        <v>230</v>
      </c>
      <c r="D123" t="s">
        <v>88</v>
      </c>
      <c r="E123">
        <v>3877</v>
      </c>
      <c r="F123">
        <v>17.899999999999999</v>
      </c>
    </row>
    <row r="124" spans="1:6" x14ac:dyDescent="0.3">
      <c r="A124">
        <v>2023</v>
      </c>
      <c r="B124" t="s">
        <v>25</v>
      </c>
      <c r="C124" t="s">
        <v>230</v>
      </c>
      <c r="D124" t="s">
        <v>89</v>
      </c>
      <c r="E124">
        <v>8060</v>
      </c>
      <c r="F124">
        <v>37.200000000000003</v>
      </c>
    </row>
    <row r="125" spans="1:6" x14ac:dyDescent="0.3">
      <c r="A125">
        <v>2023</v>
      </c>
      <c r="B125" t="s">
        <v>25</v>
      </c>
      <c r="C125" t="s">
        <v>230</v>
      </c>
      <c r="D125" t="s">
        <v>90</v>
      </c>
      <c r="E125">
        <v>580</v>
      </c>
      <c r="F125">
        <v>2.7</v>
      </c>
    </row>
    <row r="126" spans="1:6" x14ac:dyDescent="0.3">
      <c r="A126">
        <v>2023</v>
      </c>
      <c r="B126" t="s">
        <v>25</v>
      </c>
      <c r="C126" t="s">
        <v>230</v>
      </c>
      <c r="D126" t="s">
        <v>91</v>
      </c>
      <c r="E126">
        <v>242</v>
      </c>
      <c r="F126">
        <v>1.1000000000000001</v>
      </c>
    </row>
    <row r="127" spans="1:6" x14ac:dyDescent="0.3">
      <c r="A127">
        <v>2023</v>
      </c>
      <c r="B127" t="s">
        <v>25</v>
      </c>
      <c r="C127" t="s">
        <v>230</v>
      </c>
      <c r="D127" t="s">
        <v>92</v>
      </c>
      <c r="E127">
        <v>37</v>
      </c>
      <c r="F127">
        <v>0.2</v>
      </c>
    </row>
    <row r="128" spans="1:6" x14ac:dyDescent="0.3">
      <c r="A128">
        <v>2023</v>
      </c>
      <c r="B128" t="s">
        <v>25</v>
      </c>
      <c r="C128" t="s">
        <v>230</v>
      </c>
      <c r="D128" t="s">
        <v>93</v>
      </c>
      <c r="E128">
        <v>1417</v>
      </c>
      <c r="F128">
        <v>6.5</v>
      </c>
    </row>
    <row r="129" spans="1:6" x14ac:dyDescent="0.3">
      <c r="A129">
        <v>2023</v>
      </c>
      <c r="B129" t="s">
        <v>25</v>
      </c>
      <c r="C129" t="s">
        <v>230</v>
      </c>
      <c r="D129" t="s">
        <v>94</v>
      </c>
      <c r="E129">
        <v>831</v>
      </c>
      <c r="F129">
        <v>3.8</v>
      </c>
    </row>
    <row r="130" spans="1:6" x14ac:dyDescent="0.3">
      <c r="A130">
        <v>2023</v>
      </c>
      <c r="B130" t="s">
        <v>25</v>
      </c>
      <c r="C130" t="s">
        <v>230</v>
      </c>
      <c r="D130" t="s">
        <v>95</v>
      </c>
      <c r="E130">
        <v>26</v>
      </c>
      <c r="F130">
        <v>0.1</v>
      </c>
    </row>
    <row r="131" spans="1:6" x14ac:dyDescent="0.3">
      <c r="A131">
        <v>2023</v>
      </c>
      <c r="B131" t="s">
        <v>25</v>
      </c>
      <c r="C131" t="s">
        <v>231</v>
      </c>
      <c r="D131" t="s">
        <v>96</v>
      </c>
      <c r="E131">
        <v>9697</v>
      </c>
      <c r="F131">
        <v>44.8</v>
      </c>
    </row>
    <row r="132" spans="1:6" x14ac:dyDescent="0.3">
      <c r="A132">
        <v>2023</v>
      </c>
      <c r="B132" t="s">
        <v>25</v>
      </c>
      <c r="C132" t="s">
        <v>231</v>
      </c>
      <c r="D132" t="s">
        <v>97</v>
      </c>
      <c r="E132">
        <v>11948</v>
      </c>
      <c r="F132">
        <v>55.2</v>
      </c>
    </row>
    <row r="133" spans="1:6" x14ac:dyDescent="0.3">
      <c r="A133">
        <v>2023</v>
      </c>
      <c r="B133" t="s">
        <v>25</v>
      </c>
      <c r="C133" t="s">
        <v>232</v>
      </c>
      <c r="D133" t="s">
        <v>98</v>
      </c>
      <c r="E133">
        <v>2916</v>
      </c>
      <c r="F133">
        <v>19.600000000000001</v>
      </c>
    </row>
    <row r="134" spans="1:6" x14ac:dyDescent="0.3">
      <c r="A134">
        <v>2023</v>
      </c>
      <c r="B134" t="s">
        <v>25</v>
      </c>
      <c r="C134" t="s">
        <v>232</v>
      </c>
      <c r="D134" t="s">
        <v>99</v>
      </c>
      <c r="E134">
        <v>8986</v>
      </c>
      <c r="F134">
        <v>60.5</v>
      </c>
    </row>
    <row r="135" spans="1:6" x14ac:dyDescent="0.3">
      <c r="A135">
        <v>2023</v>
      </c>
      <c r="B135" t="s">
        <v>25</v>
      </c>
      <c r="C135" t="s">
        <v>232</v>
      </c>
      <c r="D135" t="s">
        <v>100</v>
      </c>
      <c r="E135">
        <v>1608</v>
      </c>
      <c r="F135">
        <v>10.8</v>
      </c>
    </row>
    <row r="136" spans="1:6" x14ac:dyDescent="0.3">
      <c r="A136">
        <v>2023</v>
      </c>
      <c r="B136" t="s">
        <v>25</v>
      </c>
      <c r="C136" t="s">
        <v>232</v>
      </c>
      <c r="D136" t="s">
        <v>101</v>
      </c>
      <c r="E136">
        <v>1340</v>
      </c>
      <c r="F136">
        <v>9</v>
      </c>
    </row>
    <row r="137" spans="1:6" x14ac:dyDescent="0.3">
      <c r="A137">
        <v>2023</v>
      </c>
      <c r="B137" t="s">
        <v>25</v>
      </c>
      <c r="C137" t="s">
        <v>233</v>
      </c>
      <c r="D137" t="s">
        <v>102</v>
      </c>
      <c r="E137">
        <v>2448</v>
      </c>
      <c r="F137">
        <v>11.5</v>
      </c>
    </row>
    <row r="138" spans="1:6" x14ac:dyDescent="0.3">
      <c r="A138">
        <v>2023</v>
      </c>
      <c r="B138" t="s">
        <v>25</v>
      </c>
      <c r="C138" t="s">
        <v>233</v>
      </c>
      <c r="D138" t="s">
        <v>103</v>
      </c>
      <c r="E138">
        <v>1994</v>
      </c>
      <c r="F138">
        <v>9.4</v>
      </c>
    </row>
    <row r="139" spans="1:6" x14ac:dyDescent="0.3">
      <c r="A139">
        <v>2023</v>
      </c>
      <c r="B139" t="s">
        <v>25</v>
      </c>
      <c r="C139" t="s">
        <v>233</v>
      </c>
      <c r="D139" t="s">
        <v>104</v>
      </c>
      <c r="E139">
        <v>1203</v>
      </c>
      <c r="F139">
        <v>5.7</v>
      </c>
    </row>
    <row r="140" spans="1:6" x14ac:dyDescent="0.3">
      <c r="A140">
        <v>2023</v>
      </c>
      <c r="B140" t="s">
        <v>25</v>
      </c>
      <c r="C140" t="s">
        <v>233</v>
      </c>
      <c r="D140" t="s">
        <v>105</v>
      </c>
      <c r="E140">
        <v>8161</v>
      </c>
      <c r="F140">
        <v>38.4</v>
      </c>
    </row>
    <row r="141" spans="1:6" x14ac:dyDescent="0.3">
      <c r="A141">
        <v>2023</v>
      </c>
      <c r="B141" t="s">
        <v>25</v>
      </c>
      <c r="C141" t="s">
        <v>233</v>
      </c>
      <c r="D141" t="s">
        <v>106</v>
      </c>
      <c r="E141">
        <v>5668</v>
      </c>
      <c r="F141">
        <v>26.7</v>
      </c>
    </row>
    <row r="142" spans="1:6" x14ac:dyDescent="0.3">
      <c r="A142">
        <v>2023</v>
      </c>
      <c r="B142" t="s">
        <v>25</v>
      </c>
      <c r="C142" t="s">
        <v>233</v>
      </c>
      <c r="D142" t="s">
        <v>107</v>
      </c>
      <c r="E142">
        <v>35</v>
      </c>
      <c r="F142">
        <v>0.2</v>
      </c>
    </row>
    <row r="143" spans="1:6" x14ac:dyDescent="0.3">
      <c r="A143">
        <v>2023</v>
      </c>
      <c r="B143" t="s">
        <v>25</v>
      </c>
      <c r="C143" t="s">
        <v>233</v>
      </c>
      <c r="D143" t="s">
        <v>108</v>
      </c>
      <c r="E143">
        <v>1758</v>
      </c>
      <c r="F143">
        <v>8.3000000000000007</v>
      </c>
    </row>
    <row r="144" spans="1:6" x14ac:dyDescent="0.3">
      <c r="A144">
        <v>2023</v>
      </c>
      <c r="B144" t="s">
        <v>25</v>
      </c>
      <c r="C144" t="s">
        <v>234</v>
      </c>
      <c r="D144" t="s">
        <v>109</v>
      </c>
      <c r="E144">
        <v>7904</v>
      </c>
      <c r="F144">
        <v>52.5</v>
      </c>
    </row>
    <row r="145" spans="1:6" x14ac:dyDescent="0.3">
      <c r="A145">
        <v>2023</v>
      </c>
      <c r="B145" t="s">
        <v>25</v>
      </c>
      <c r="C145" t="s">
        <v>234</v>
      </c>
      <c r="D145" t="s">
        <v>110</v>
      </c>
      <c r="E145">
        <v>862</v>
      </c>
      <c r="F145">
        <v>5.7</v>
      </c>
    </row>
    <row r="146" spans="1:6" x14ac:dyDescent="0.3">
      <c r="A146">
        <v>2023</v>
      </c>
      <c r="B146" t="s">
        <v>25</v>
      </c>
      <c r="C146" t="s">
        <v>234</v>
      </c>
      <c r="D146" t="s">
        <v>111</v>
      </c>
      <c r="E146">
        <v>451</v>
      </c>
      <c r="F146">
        <v>3</v>
      </c>
    </row>
    <row r="147" spans="1:6" x14ac:dyDescent="0.3">
      <c r="A147">
        <v>2023</v>
      </c>
      <c r="B147" t="s">
        <v>25</v>
      </c>
      <c r="C147" t="s">
        <v>234</v>
      </c>
      <c r="D147" t="s">
        <v>112</v>
      </c>
      <c r="E147">
        <v>2714</v>
      </c>
      <c r="F147">
        <v>18</v>
      </c>
    </row>
    <row r="148" spans="1:6" x14ac:dyDescent="0.3">
      <c r="A148">
        <v>2023</v>
      </c>
      <c r="B148" t="s">
        <v>25</v>
      </c>
      <c r="C148" t="s">
        <v>234</v>
      </c>
      <c r="D148" t="s">
        <v>113</v>
      </c>
      <c r="E148">
        <v>1616</v>
      </c>
      <c r="F148">
        <v>10.7</v>
      </c>
    </row>
    <row r="149" spans="1:6" x14ac:dyDescent="0.3">
      <c r="A149">
        <v>2023</v>
      </c>
      <c r="B149" t="s">
        <v>25</v>
      </c>
      <c r="C149" t="s">
        <v>234</v>
      </c>
      <c r="D149" t="s">
        <v>114</v>
      </c>
      <c r="E149">
        <v>1171</v>
      </c>
      <c r="F149">
        <v>7.8</v>
      </c>
    </row>
    <row r="150" spans="1:6" x14ac:dyDescent="0.3">
      <c r="A150">
        <v>2023</v>
      </c>
      <c r="B150" t="s">
        <v>25</v>
      </c>
      <c r="C150" t="s">
        <v>234</v>
      </c>
      <c r="D150" t="s">
        <v>115</v>
      </c>
      <c r="E150">
        <v>284</v>
      </c>
      <c r="F150">
        <v>1.9</v>
      </c>
    </row>
    <row r="151" spans="1:6" x14ac:dyDescent="0.3">
      <c r="A151">
        <v>2023</v>
      </c>
      <c r="B151" t="s">
        <v>25</v>
      </c>
      <c r="C151" t="s">
        <v>234</v>
      </c>
      <c r="D151" t="s">
        <v>116</v>
      </c>
      <c r="E151">
        <v>59</v>
      </c>
      <c r="F151">
        <v>0.4</v>
      </c>
    </row>
    <row r="152" spans="1:6" x14ac:dyDescent="0.3">
      <c r="A152">
        <v>2023</v>
      </c>
      <c r="B152" t="s">
        <v>24</v>
      </c>
      <c r="C152" t="s">
        <v>230</v>
      </c>
      <c r="D152" t="s">
        <v>87</v>
      </c>
      <c r="E152">
        <v>5425</v>
      </c>
      <c r="F152">
        <v>25.8</v>
      </c>
    </row>
    <row r="153" spans="1:6" x14ac:dyDescent="0.3">
      <c r="A153">
        <v>2023</v>
      </c>
      <c r="B153" t="s">
        <v>24</v>
      </c>
      <c r="C153" t="s">
        <v>230</v>
      </c>
      <c r="D153" t="s">
        <v>88</v>
      </c>
      <c r="E153">
        <v>3672</v>
      </c>
      <c r="F153">
        <v>17.399999999999999</v>
      </c>
    </row>
    <row r="154" spans="1:6" x14ac:dyDescent="0.3">
      <c r="A154">
        <v>2023</v>
      </c>
      <c r="B154" t="s">
        <v>24</v>
      </c>
      <c r="C154" t="s">
        <v>230</v>
      </c>
      <c r="D154" t="s">
        <v>89</v>
      </c>
      <c r="E154">
        <v>8298</v>
      </c>
      <c r="F154">
        <v>39.4</v>
      </c>
    </row>
    <row r="155" spans="1:6" x14ac:dyDescent="0.3">
      <c r="A155">
        <v>2023</v>
      </c>
      <c r="B155" t="s">
        <v>24</v>
      </c>
      <c r="C155" t="s">
        <v>230</v>
      </c>
      <c r="D155" t="s">
        <v>90</v>
      </c>
      <c r="E155">
        <v>522</v>
      </c>
      <c r="F155">
        <v>2.5</v>
      </c>
    </row>
    <row r="156" spans="1:6" x14ac:dyDescent="0.3">
      <c r="A156">
        <v>2023</v>
      </c>
      <c r="B156" t="s">
        <v>24</v>
      </c>
      <c r="C156" t="s">
        <v>230</v>
      </c>
      <c r="D156" t="s">
        <v>91</v>
      </c>
      <c r="E156">
        <v>234</v>
      </c>
      <c r="F156">
        <v>1.1000000000000001</v>
      </c>
    </row>
    <row r="157" spans="1:6" x14ac:dyDescent="0.3">
      <c r="A157">
        <v>2023</v>
      </c>
      <c r="B157" t="s">
        <v>24</v>
      </c>
      <c r="C157" t="s">
        <v>230</v>
      </c>
      <c r="D157" t="s">
        <v>92</v>
      </c>
      <c r="E157">
        <v>31</v>
      </c>
      <c r="F157">
        <v>0.1</v>
      </c>
    </row>
    <row r="158" spans="1:6" x14ac:dyDescent="0.3">
      <c r="A158">
        <v>2023</v>
      </c>
      <c r="B158" t="s">
        <v>24</v>
      </c>
      <c r="C158" t="s">
        <v>230</v>
      </c>
      <c r="D158" t="s">
        <v>93</v>
      </c>
      <c r="E158">
        <v>1988</v>
      </c>
      <c r="F158">
        <v>9.4</v>
      </c>
    </row>
    <row r="159" spans="1:6" x14ac:dyDescent="0.3">
      <c r="A159">
        <v>2023</v>
      </c>
      <c r="B159" t="s">
        <v>24</v>
      </c>
      <c r="C159" t="s">
        <v>230</v>
      </c>
      <c r="D159" t="s">
        <v>94</v>
      </c>
      <c r="E159">
        <v>845</v>
      </c>
      <c r="F159">
        <v>4</v>
      </c>
    </row>
    <row r="160" spans="1:6" x14ac:dyDescent="0.3">
      <c r="A160">
        <v>2023</v>
      </c>
      <c r="B160" t="s">
        <v>24</v>
      </c>
      <c r="C160" t="s">
        <v>230</v>
      </c>
      <c r="D160" t="s">
        <v>95</v>
      </c>
      <c r="E160">
        <v>29</v>
      </c>
      <c r="F160">
        <v>0.1</v>
      </c>
    </row>
    <row r="161" spans="1:6" x14ac:dyDescent="0.3">
      <c r="A161">
        <v>2023</v>
      </c>
      <c r="B161" t="s">
        <v>24</v>
      </c>
      <c r="C161" t="s">
        <v>231</v>
      </c>
      <c r="D161" t="s">
        <v>96</v>
      </c>
      <c r="E161">
        <v>10227</v>
      </c>
      <c r="F161">
        <v>48.6</v>
      </c>
    </row>
    <row r="162" spans="1:6" x14ac:dyDescent="0.3">
      <c r="A162">
        <v>2023</v>
      </c>
      <c r="B162" t="s">
        <v>24</v>
      </c>
      <c r="C162" t="s">
        <v>231</v>
      </c>
      <c r="D162" t="s">
        <v>97</v>
      </c>
      <c r="E162">
        <v>10817</v>
      </c>
      <c r="F162">
        <v>51.4</v>
      </c>
    </row>
    <row r="163" spans="1:6" x14ac:dyDescent="0.3">
      <c r="A163">
        <v>2023</v>
      </c>
      <c r="B163" t="s">
        <v>24</v>
      </c>
      <c r="C163" t="s">
        <v>232</v>
      </c>
      <c r="D163" t="s">
        <v>98</v>
      </c>
      <c r="E163">
        <v>3012</v>
      </c>
      <c r="F163">
        <v>21.2</v>
      </c>
    </row>
    <row r="164" spans="1:6" x14ac:dyDescent="0.3">
      <c r="A164">
        <v>2023</v>
      </c>
      <c r="B164" t="s">
        <v>24</v>
      </c>
      <c r="C164" t="s">
        <v>232</v>
      </c>
      <c r="D164" t="s">
        <v>99</v>
      </c>
      <c r="E164">
        <v>9050</v>
      </c>
      <c r="F164">
        <v>63.6</v>
      </c>
    </row>
    <row r="165" spans="1:6" x14ac:dyDescent="0.3">
      <c r="A165">
        <v>2023</v>
      </c>
      <c r="B165" t="s">
        <v>24</v>
      </c>
      <c r="C165" t="s">
        <v>232</v>
      </c>
      <c r="D165" t="s">
        <v>100</v>
      </c>
      <c r="E165">
        <v>1279</v>
      </c>
      <c r="F165">
        <v>9</v>
      </c>
    </row>
    <row r="166" spans="1:6" x14ac:dyDescent="0.3">
      <c r="A166">
        <v>2023</v>
      </c>
      <c r="B166" t="s">
        <v>24</v>
      </c>
      <c r="C166" t="s">
        <v>232</v>
      </c>
      <c r="D166" t="s">
        <v>101</v>
      </c>
      <c r="E166">
        <v>879</v>
      </c>
      <c r="F166">
        <v>6.2</v>
      </c>
    </row>
    <row r="167" spans="1:6" x14ac:dyDescent="0.3">
      <c r="A167">
        <v>2023</v>
      </c>
      <c r="B167" t="s">
        <v>24</v>
      </c>
      <c r="C167" t="s">
        <v>233</v>
      </c>
      <c r="D167" t="s">
        <v>102</v>
      </c>
      <c r="E167">
        <v>2349</v>
      </c>
      <c r="F167">
        <v>11.4</v>
      </c>
    </row>
    <row r="168" spans="1:6" x14ac:dyDescent="0.3">
      <c r="A168">
        <v>2023</v>
      </c>
      <c r="B168" t="s">
        <v>24</v>
      </c>
      <c r="C168" t="s">
        <v>233</v>
      </c>
      <c r="D168" t="s">
        <v>103</v>
      </c>
      <c r="E168">
        <v>2194</v>
      </c>
      <c r="F168">
        <v>10.6</v>
      </c>
    </row>
    <row r="169" spans="1:6" x14ac:dyDescent="0.3">
      <c r="A169">
        <v>2023</v>
      </c>
      <c r="B169" t="s">
        <v>24</v>
      </c>
      <c r="C169" t="s">
        <v>233</v>
      </c>
      <c r="D169" t="s">
        <v>104</v>
      </c>
      <c r="E169">
        <v>1551</v>
      </c>
      <c r="F169">
        <v>7.5</v>
      </c>
    </row>
    <row r="170" spans="1:6" x14ac:dyDescent="0.3">
      <c r="A170">
        <v>2023</v>
      </c>
      <c r="B170" t="s">
        <v>24</v>
      </c>
      <c r="C170" t="s">
        <v>233</v>
      </c>
      <c r="D170" t="s">
        <v>105</v>
      </c>
      <c r="E170">
        <v>10206</v>
      </c>
      <c r="F170">
        <v>49.4</v>
      </c>
    </row>
    <row r="171" spans="1:6" x14ac:dyDescent="0.3">
      <c r="A171">
        <v>2023</v>
      </c>
      <c r="B171" t="s">
        <v>24</v>
      </c>
      <c r="C171" t="s">
        <v>233</v>
      </c>
      <c r="D171" t="s">
        <v>106</v>
      </c>
      <c r="E171">
        <v>2724</v>
      </c>
      <c r="F171">
        <v>13.2</v>
      </c>
    </row>
    <row r="172" spans="1:6" x14ac:dyDescent="0.3">
      <c r="A172">
        <v>2023</v>
      </c>
      <c r="B172" t="s">
        <v>24</v>
      </c>
      <c r="C172" t="s">
        <v>233</v>
      </c>
      <c r="D172" t="s">
        <v>107</v>
      </c>
      <c r="E172">
        <v>10</v>
      </c>
      <c r="F172">
        <v>0</v>
      </c>
    </row>
    <row r="173" spans="1:6" x14ac:dyDescent="0.3">
      <c r="A173">
        <v>2023</v>
      </c>
      <c r="B173" t="s">
        <v>24</v>
      </c>
      <c r="C173" t="s">
        <v>233</v>
      </c>
      <c r="D173" t="s">
        <v>108</v>
      </c>
      <c r="E173">
        <v>1625</v>
      </c>
      <c r="F173">
        <v>7.9</v>
      </c>
    </row>
    <row r="174" spans="1:6" x14ac:dyDescent="0.3">
      <c r="A174">
        <v>2023</v>
      </c>
      <c r="B174" t="s">
        <v>24</v>
      </c>
      <c r="C174" t="s">
        <v>234</v>
      </c>
      <c r="D174" t="s">
        <v>109</v>
      </c>
      <c r="E174">
        <v>7292</v>
      </c>
      <c r="F174">
        <v>50.4</v>
      </c>
    </row>
    <row r="175" spans="1:6" x14ac:dyDescent="0.3">
      <c r="A175">
        <v>2023</v>
      </c>
      <c r="B175" t="s">
        <v>24</v>
      </c>
      <c r="C175" t="s">
        <v>234</v>
      </c>
      <c r="D175" t="s">
        <v>110</v>
      </c>
      <c r="E175">
        <v>972</v>
      </c>
      <c r="F175">
        <v>6.7</v>
      </c>
    </row>
    <row r="176" spans="1:6" x14ac:dyDescent="0.3">
      <c r="A176">
        <v>2023</v>
      </c>
      <c r="B176" t="s">
        <v>24</v>
      </c>
      <c r="C176" t="s">
        <v>234</v>
      </c>
      <c r="D176" t="s">
        <v>111</v>
      </c>
      <c r="E176">
        <v>479</v>
      </c>
      <c r="F176">
        <v>3.3</v>
      </c>
    </row>
    <row r="177" spans="1:6" x14ac:dyDescent="0.3">
      <c r="A177">
        <v>2023</v>
      </c>
      <c r="B177" t="s">
        <v>24</v>
      </c>
      <c r="C177" t="s">
        <v>234</v>
      </c>
      <c r="D177" t="s">
        <v>112</v>
      </c>
      <c r="E177">
        <v>2326</v>
      </c>
      <c r="F177">
        <v>16.100000000000001</v>
      </c>
    </row>
    <row r="178" spans="1:6" x14ac:dyDescent="0.3">
      <c r="A178">
        <v>2023</v>
      </c>
      <c r="B178" t="s">
        <v>24</v>
      </c>
      <c r="C178" t="s">
        <v>234</v>
      </c>
      <c r="D178" t="s">
        <v>113</v>
      </c>
      <c r="E178">
        <v>1898</v>
      </c>
      <c r="F178">
        <v>13.1</v>
      </c>
    </row>
    <row r="179" spans="1:6" x14ac:dyDescent="0.3">
      <c r="A179">
        <v>2023</v>
      </c>
      <c r="B179" t="s">
        <v>24</v>
      </c>
      <c r="C179" t="s">
        <v>234</v>
      </c>
      <c r="D179" t="s">
        <v>114</v>
      </c>
      <c r="E179">
        <v>1097</v>
      </c>
      <c r="F179">
        <v>7.6</v>
      </c>
    </row>
    <row r="180" spans="1:6" x14ac:dyDescent="0.3">
      <c r="A180">
        <v>2023</v>
      </c>
      <c r="B180" t="s">
        <v>24</v>
      </c>
      <c r="C180" t="s">
        <v>234</v>
      </c>
      <c r="D180" t="s">
        <v>115</v>
      </c>
      <c r="E180">
        <v>322</v>
      </c>
      <c r="F180">
        <v>2.2000000000000002</v>
      </c>
    </row>
    <row r="181" spans="1:6" x14ac:dyDescent="0.3">
      <c r="A181">
        <v>2023</v>
      </c>
      <c r="B181" t="s">
        <v>24</v>
      </c>
      <c r="C181" t="s">
        <v>234</v>
      </c>
      <c r="D181" t="s">
        <v>116</v>
      </c>
      <c r="E181">
        <v>70</v>
      </c>
      <c r="F181">
        <v>0.5</v>
      </c>
    </row>
    <row r="182" spans="1:6" x14ac:dyDescent="0.3">
      <c r="A182">
        <v>2024</v>
      </c>
      <c r="B182" t="s">
        <v>25</v>
      </c>
      <c r="C182" t="s">
        <v>230</v>
      </c>
      <c r="D182" t="s">
        <v>87</v>
      </c>
      <c r="E182">
        <v>6603</v>
      </c>
      <c r="F182">
        <v>30.7</v>
      </c>
    </row>
    <row r="183" spans="1:6" x14ac:dyDescent="0.3">
      <c r="A183">
        <v>2024</v>
      </c>
      <c r="B183" t="s">
        <v>25</v>
      </c>
      <c r="C183" t="s">
        <v>230</v>
      </c>
      <c r="D183" t="s">
        <v>88</v>
      </c>
      <c r="E183">
        <v>3869</v>
      </c>
      <c r="F183">
        <v>18</v>
      </c>
    </row>
    <row r="184" spans="1:6" x14ac:dyDescent="0.3">
      <c r="A184">
        <v>2024</v>
      </c>
      <c r="B184" t="s">
        <v>25</v>
      </c>
      <c r="C184" t="s">
        <v>230</v>
      </c>
      <c r="D184" t="s">
        <v>89</v>
      </c>
      <c r="E184">
        <v>8138</v>
      </c>
      <c r="F184">
        <v>37.9</v>
      </c>
    </row>
    <row r="185" spans="1:6" x14ac:dyDescent="0.3">
      <c r="A185">
        <v>2024</v>
      </c>
      <c r="B185" t="s">
        <v>25</v>
      </c>
      <c r="C185" t="s">
        <v>230</v>
      </c>
      <c r="D185" t="s">
        <v>90</v>
      </c>
      <c r="E185">
        <v>596</v>
      </c>
      <c r="F185">
        <v>2.8</v>
      </c>
    </row>
    <row r="186" spans="1:6" x14ac:dyDescent="0.3">
      <c r="A186">
        <v>2024</v>
      </c>
      <c r="B186" t="s">
        <v>25</v>
      </c>
      <c r="C186" t="s">
        <v>230</v>
      </c>
      <c r="D186" t="s">
        <v>91</v>
      </c>
      <c r="E186">
        <v>253</v>
      </c>
      <c r="F186">
        <v>1.2</v>
      </c>
    </row>
    <row r="187" spans="1:6" x14ac:dyDescent="0.3">
      <c r="A187">
        <v>2024</v>
      </c>
      <c r="B187" t="s">
        <v>25</v>
      </c>
      <c r="C187" t="s">
        <v>230</v>
      </c>
      <c r="D187" t="s">
        <v>92</v>
      </c>
      <c r="E187">
        <v>48</v>
      </c>
      <c r="F187">
        <v>0.2</v>
      </c>
    </row>
    <row r="188" spans="1:6" x14ac:dyDescent="0.3">
      <c r="A188">
        <v>2024</v>
      </c>
      <c r="B188" t="s">
        <v>25</v>
      </c>
      <c r="C188" t="s">
        <v>230</v>
      </c>
      <c r="D188" t="s">
        <v>93</v>
      </c>
      <c r="E188">
        <v>1301</v>
      </c>
      <c r="F188">
        <v>6.1</v>
      </c>
    </row>
    <row r="189" spans="1:6" x14ac:dyDescent="0.3">
      <c r="A189">
        <v>2024</v>
      </c>
      <c r="B189" t="s">
        <v>25</v>
      </c>
      <c r="C189" t="s">
        <v>230</v>
      </c>
      <c r="D189" t="s">
        <v>94</v>
      </c>
      <c r="E189">
        <v>658</v>
      </c>
      <c r="F189">
        <v>3.1</v>
      </c>
    </row>
    <row r="190" spans="1:6" x14ac:dyDescent="0.3">
      <c r="A190">
        <v>2024</v>
      </c>
      <c r="B190" t="s">
        <v>25</v>
      </c>
      <c r="C190" t="s">
        <v>230</v>
      </c>
      <c r="D190" t="s">
        <v>95</v>
      </c>
      <c r="E190">
        <v>30</v>
      </c>
      <c r="F190">
        <v>0.1</v>
      </c>
    </row>
    <row r="191" spans="1:6" x14ac:dyDescent="0.3">
      <c r="A191">
        <v>2024</v>
      </c>
      <c r="B191" t="s">
        <v>25</v>
      </c>
      <c r="C191" t="s">
        <v>231</v>
      </c>
      <c r="D191" t="s">
        <v>96</v>
      </c>
      <c r="E191">
        <v>9745</v>
      </c>
      <c r="F191">
        <v>45.3</v>
      </c>
    </row>
    <row r="192" spans="1:6" x14ac:dyDescent="0.3">
      <c r="A192">
        <v>2024</v>
      </c>
      <c r="B192" t="s">
        <v>25</v>
      </c>
      <c r="C192" t="s">
        <v>231</v>
      </c>
      <c r="D192" t="s">
        <v>97</v>
      </c>
      <c r="E192">
        <v>11751</v>
      </c>
      <c r="F192">
        <v>54.7</v>
      </c>
    </row>
    <row r="193" spans="1:6" x14ac:dyDescent="0.3">
      <c r="A193">
        <v>2024</v>
      </c>
      <c r="B193" t="s">
        <v>25</v>
      </c>
      <c r="C193" t="s">
        <v>232</v>
      </c>
      <c r="D193" t="s">
        <v>98</v>
      </c>
      <c r="E193">
        <v>3060</v>
      </c>
      <c r="F193">
        <v>20.6</v>
      </c>
    </row>
    <row r="194" spans="1:6" x14ac:dyDescent="0.3">
      <c r="A194">
        <v>2024</v>
      </c>
      <c r="B194" t="s">
        <v>25</v>
      </c>
      <c r="C194" t="s">
        <v>232</v>
      </c>
      <c r="D194" t="s">
        <v>99</v>
      </c>
      <c r="E194">
        <v>8951</v>
      </c>
      <c r="F194">
        <v>60.2</v>
      </c>
    </row>
    <row r="195" spans="1:6" x14ac:dyDescent="0.3">
      <c r="A195">
        <v>2024</v>
      </c>
      <c r="B195" t="s">
        <v>25</v>
      </c>
      <c r="C195" t="s">
        <v>232</v>
      </c>
      <c r="D195" t="s">
        <v>100</v>
      </c>
      <c r="E195">
        <v>1526</v>
      </c>
      <c r="F195">
        <v>10.3</v>
      </c>
    </row>
    <row r="196" spans="1:6" x14ac:dyDescent="0.3">
      <c r="A196">
        <v>2024</v>
      </c>
      <c r="B196" t="s">
        <v>25</v>
      </c>
      <c r="C196" t="s">
        <v>232</v>
      </c>
      <c r="D196" t="s">
        <v>101</v>
      </c>
      <c r="E196">
        <v>1328</v>
      </c>
      <c r="F196">
        <v>8.9</v>
      </c>
    </row>
    <row r="197" spans="1:6" x14ac:dyDescent="0.3">
      <c r="A197">
        <v>2024</v>
      </c>
      <c r="B197" t="s">
        <v>25</v>
      </c>
      <c r="C197" t="s">
        <v>233</v>
      </c>
      <c r="D197" t="s">
        <v>102</v>
      </c>
      <c r="E197">
        <v>2422</v>
      </c>
      <c r="F197">
        <v>11.4</v>
      </c>
    </row>
    <row r="198" spans="1:6" x14ac:dyDescent="0.3">
      <c r="A198">
        <v>2024</v>
      </c>
      <c r="B198" t="s">
        <v>25</v>
      </c>
      <c r="C198" t="s">
        <v>233</v>
      </c>
      <c r="D198" t="s">
        <v>103</v>
      </c>
      <c r="E198">
        <v>2028</v>
      </c>
      <c r="F198">
        <v>9.6</v>
      </c>
    </row>
    <row r="199" spans="1:6" x14ac:dyDescent="0.3">
      <c r="A199">
        <v>2024</v>
      </c>
      <c r="B199" t="s">
        <v>25</v>
      </c>
      <c r="C199" t="s">
        <v>233</v>
      </c>
      <c r="D199" t="s">
        <v>104</v>
      </c>
      <c r="E199">
        <v>1410</v>
      </c>
      <c r="F199">
        <v>6.7</v>
      </c>
    </row>
    <row r="200" spans="1:6" x14ac:dyDescent="0.3">
      <c r="A200">
        <v>2024</v>
      </c>
      <c r="B200" t="s">
        <v>25</v>
      </c>
      <c r="C200" t="s">
        <v>233</v>
      </c>
      <c r="D200" t="s">
        <v>105</v>
      </c>
      <c r="E200">
        <v>8060</v>
      </c>
      <c r="F200">
        <v>38</v>
      </c>
    </row>
    <row r="201" spans="1:6" x14ac:dyDescent="0.3">
      <c r="A201">
        <v>2024</v>
      </c>
      <c r="B201" t="s">
        <v>25</v>
      </c>
      <c r="C201" t="s">
        <v>233</v>
      </c>
      <c r="D201" t="s">
        <v>106</v>
      </c>
      <c r="E201">
        <v>5674</v>
      </c>
      <c r="F201">
        <v>26.8</v>
      </c>
    </row>
    <row r="202" spans="1:6" x14ac:dyDescent="0.3">
      <c r="A202">
        <v>2024</v>
      </c>
      <c r="B202" t="s">
        <v>25</v>
      </c>
      <c r="C202" t="s">
        <v>233</v>
      </c>
      <c r="D202" t="s">
        <v>107</v>
      </c>
      <c r="E202">
        <v>16</v>
      </c>
      <c r="F202">
        <v>0.1</v>
      </c>
    </row>
    <row r="203" spans="1:6" x14ac:dyDescent="0.3">
      <c r="A203">
        <v>2024</v>
      </c>
      <c r="B203" t="s">
        <v>25</v>
      </c>
      <c r="C203" t="s">
        <v>233</v>
      </c>
      <c r="D203" t="s">
        <v>108</v>
      </c>
      <c r="E203">
        <v>1583</v>
      </c>
      <c r="F203">
        <v>7.5</v>
      </c>
    </row>
    <row r="204" spans="1:6" x14ac:dyDescent="0.3">
      <c r="A204">
        <v>2024</v>
      </c>
      <c r="B204" t="s">
        <v>25</v>
      </c>
      <c r="C204" t="s">
        <v>234</v>
      </c>
      <c r="D204" t="s">
        <v>109</v>
      </c>
      <c r="E204">
        <v>8003</v>
      </c>
      <c r="F204">
        <v>53</v>
      </c>
    </row>
    <row r="205" spans="1:6" x14ac:dyDescent="0.3">
      <c r="A205">
        <v>2024</v>
      </c>
      <c r="B205" t="s">
        <v>25</v>
      </c>
      <c r="C205" t="s">
        <v>234</v>
      </c>
      <c r="D205" t="s">
        <v>110</v>
      </c>
      <c r="E205">
        <v>910</v>
      </c>
      <c r="F205">
        <v>6</v>
      </c>
    </row>
    <row r="206" spans="1:6" x14ac:dyDescent="0.3">
      <c r="A206">
        <v>2024</v>
      </c>
      <c r="B206" t="s">
        <v>25</v>
      </c>
      <c r="C206" t="s">
        <v>234</v>
      </c>
      <c r="D206" t="s">
        <v>111</v>
      </c>
      <c r="E206">
        <v>374</v>
      </c>
      <c r="F206">
        <v>2.5</v>
      </c>
    </row>
    <row r="207" spans="1:6" x14ac:dyDescent="0.3">
      <c r="A207">
        <v>2024</v>
      </c>
      <c r="B207" t="s">
        <v>25</v>
      </c>
      <c r="C207" t="s">
        <v>234</v>
      </c>
      <c r="D207" t="s">
        <v>112</v>
      </c>
      <c r="E207">
        <v>2616</v>
      </c>
      <c r="F207">
        <v>17.3</v>
      </c>
    </row>
    <row r="208" spans="1:6" x14ac:dyDescent="0.3">
      <c r="A208">
        <v>2024</v>
      </c>
      <c r="B208" t="s">
        <v>25</v>
      </c>
      <c r="C208" t="s">
        <v>234</v>
      </c>
      <c r="D208" t="s">
        <v>113</v>
      </c>
      <c r="E208">
        <v>1765</v>
      </c>
      <c r="F208">
        <v>11.7</v>
      </c>
    </row>
    <row r="209" spans="1:6" x14ac:dyDescent="0.3">
      <c r="A209">
        <v>2024</v>
      </c>
      <c r="B209" t="s">
        <v>25</v>
      </c>
      <c r="C209" t="s">
        <v>234</v>
      </c>
      <c r="D209" t="s">
        <v>114</v>
      </c>
      <c r="E209">
        <v>1085</v>
      </c>
      <c r="F209">
        <v>7.2</v>
      </c>
    </row>
    <row r="210" spans="1:6" x14ac:dyDescent="0.3">
      <c r="A210">
        <v>2024</v>
      </c>
      <c r="B210" t="s">
        <v>25</v>
      </c>
      <c r="C210" t="s">
        <v>234</v>
      </c>
      <c r="D210" t="s">
        <v>115</v>
      </c>
      <c r="E210">
        <v>282</v>
      </c>
      <c r="F210">
        <v>1.9</v>
      </c>
    </row>
    <row r="211" spans="1:6" x14ac:dyDescent="0.3">
      <c r="A211">
        <v>2024</v>
      </c>
      <c r="B211" t="s">
        <v>25</v>
      </c>
      <c r="C211" t="s">
        <v>234</v>
      </c>
      <c r="D211" t="s">
        <v>116</v>
      </c>
      <c r="E211">
        <v>57</v>
      </c>
      <c r="F211">
        <v>0.4</v>
      </c>
    </row>
    <row r="212" spans="1:6" x14ac:dyDescent="0.3">
      <c r="A212">
        <v>2024</v>
      </c>
      <c r="B212" t="s">
        <v>24</v>
      </c>
      <c r="C212" t="s">
        <v>230</v>
      </c>
      <c r="D212" t="s">
        <v>87</v>
      </c>
      <c r="E212">
        <v>5397</v>
      </c>
      <c r="F212">
        <v>26.6</v>
      </c>
    </row>
    <row r="213" spans="1:6" x14ac:dyDescent="0.3">
      <c r="A213">
        <v>2024</v>
      </c>
      <c r="B213" t="s">
        <v>24</v>
      </c>
      <c r="C213" t="s">
        <v>230</v>
      </c>
      <c r="D213" t="s">
        <v>88</v>
      </c>
      <c r="E213">
        <v>3618</v>
      </c>
      <c r="F213">
        <v>17.8</v>
      </c>
    </row>
    <row r="214" spans="1:6" x14ac:dyDescent="0.3">
      <c r="A214">
        <v>2024</v>
      </c>
      <c r="B214" t="s">
        <v>24</v>
      </c>
      <c r="C214" t="s">
        <v>230</v>
      </c>
      <c r="D214" t="s">
        <v>89</v>
      </c>
      <c r="E214">
        <v>7935</v>
      </c>
      <c r="F214">
        <v>39</v>
      </c>
    </row>
    <row r="215" spans="1:6" x14ac:dyDescent="0.3">
      <c r="A215">
        <v>2024</v>
      </c>
      <c r="B215" t="s">
        <v>24</v>
      </c>
      <c r="C215" t="s">
        <v>230</v>
      </c>
      <c r="D215" t="s">
        <v>90</v>
      </c>
      <c r="E215">
        <v>479</v>
      </c>
      <c r="F215">
        <v>2.4</v>
      </c>
    </row>
    <row r="216" spans="1:6" x14ac:dyDescent="0.3">
      <c r="A216">
        <v>2024</v>
      </c>
      <c r="B216" t="s">
        <v>24</v>
      </c>
      <c r="C216" t="s">
        <v>230</v>
      </c>
      <c r="D216" t="s">
        <v>91</v>
      </c>
      <c r="E216">
        <v>195</v>
      </c>
      <c r="F216">
        <v>1</v>
      </c>
    </row>
    <row r="217" spans="1:6" x14ac:dyDescent="0.3">
      <c r="A217">
        <v>2024</v>
      </c>
      <c r="B217" t="s">
        <v>24</v>
      </c>
      <c r="C217" t="s">
        <v>230</v>
      </c>
      <c r="D217" t="s">
        <v>92</v>
      </c>
      <c r="E217">
        <v>25</v>
      </c>
      <c r="F217">
        <v>0.1</v>
      </c>
    </row>
    <row r="218" spans="1:6" x14ac:dyDescent="0.3">
      <c r="A218">
        <v>2024</v>
      </c>
      <c r="B218" t="s">
        <v>24</v>
      </c>
      <c r="C218" t="s">
        <v>230</v>
      </c>
      <c r="D218" t="s">
        <v>93</v>
      </c>
      <c r="E218">
        <v>1814</v>
      </c>
      <c r="F218">
        <v>8.9</v>
      </c>
    </row>
    <row r="219" spans="1:6" x14ac:dyDescent="0.3">
      <c r="A219">
        <v>2024</v>
      </c>
      <c r="B219" t="s">
        <v>24</v>
      </c>
      <c r="C219" t="s">
        <v>230</v>
      </c>
      <c r="D219" t="s">
        <v>94</v>
      </c>
      <c r="E219">
        <v>833</v>
      </c>
      <c r="F219">
        <v>4.0999999999999996</v>
      </c>
    </row>
    <row r="220" spans="1:6" x14ac:dyDescent="0.3">
      <c r="A220">
        <v>2024</v>
      </c>
      <c r="B220" t="s">
        <v>24</v>
      </c>
      <c r="C220" t="s">
        <v>230</v>
      </c>
      <c r="D220" t="s">
        <v>95</v>
      </c>
      <c r="E220">
        <v>29</v>
      </c>
      <c r="F220">
        <v>0.1</v>
      </c>
    </row>
    <row r="221" spans="1:6" x14ac:dyDescent="0.3">
      <c r="A221">
        <v>2024</v>
      </c>
      <c r="B221" t="s">
        <v>24</v>
      </c>
      <c r="C221" t="s">
        <v>231</v>
      </c>
      <c r="D221" t="s">
        <v>96</v>
      </c>
      <c r="E221">
        <v>9730</v>
      </c>
      <c r="F221">
        <v>47.9</v>
      </c>
    </row>
    <row r="222" spans="1:6" x14ac:dyDescent="0.3">
      <c r="A222">
        <v>2024</v>
      </c>
      <c r="B222" t="s">
        <v>24</v>
      </c>
      <c r="C222" t="s">
        <v>231</v>
      </c>
      <c r="D222" t="s">
        <v>97</v>
      </c>
      <c r="E222">
        <v>10595</v>
      </c>
      <c r="F222">
        <v>52.1</v>
      </c>
    </row>
    <row r="223" spans="1:6" x14ac:dyDescent="0.3">
      <c r="A223">
        <v>2024</v>
      </c>
      <c r="B223" t="s">
        <v>24</v>
      </c>
      <c r="C223" t="s">
        <v>232</v>
      </c>
      <c r="D223" t="s">
        <v>98</v>
      </c>
      <c r="E223">
        <v>2893</v>
      </c>
      <c r="F223">
        <v>21.1</v>
      </c>
    </row>
    <row r="224" spans="1:6" x14ac:dyDescent="0.3">
      <c r="A224">
        <v>2024</v>
      </c>
      <c r="B224" t="s">
        <v>24</v>
      </c>
      <c r="C224" t="s">
        <v>232</v>
      </c>
      <c r="D224" t="s">
        <v>99</v>
      </c>
      <c r="E224">
        <v>8696</v>
      </c>
      <c r="F224">
        <v>63.3</v>
      </c>
    </row>
    <row r="225" spans="1:6" x14ac:dyDescent="0.3">
      <c r="A225">
        <v>2024</v>
      </c>
      <c r="B225" t="s">
        <v>24</v>
      </c>
      <c r="C225" t="s">
        <v>232</v>
      </c>
      <c r="D225" t="s">
        <v>100</v>
      </c>
      <c r="E225">
        <v>1223</v>
      </c>
      <c r="F225">
        <v>8.9</v>
      </c>
    </row>
    <row r="226" spans="1:6" x14ac:dyDescent="0.3">
      <c r="A226">
        <v>2024</v>
      </c>
      <c r="B226" t="s">
        <v>24</v>
      </c>
      <c r="C226" t="s">
        <v>232</v>
      </c>
      <c r="D226" t="s">
        <v>101</v>
      </c>
      <c r="E226">
        <v>922</v>
      </c>
      <c r="F226">
        <v>6.7</v>
      </c>
    </row>
    <row r="227" spans="1:6" x14ac:dyDescent="0.3">
      <c r="A227">
        <v>2024</v>
      </c>
      <c r="B227" t="s">
        <v>24</v>
      </c>
      <c r="C227" t="s">
        <v>233</v>
      </c>
      <c r="D227" t="s">
        <v>102</v>
      </c>
      <c r="E227">
        <v>2251</v>
      </c>
      <c r="F227">
        <v>11.3</v>
      </c>
    </row>
    <row r="228" spans="1:6" x14ac:dyDescent="0.3">
      <c r="A228">
        <v>2024</v>
      </c>
      <c r="B228" t="s">
        <v>24</v>
      </c>
      <c r="C228" t="s">
        <v>233</v>
      </c>
      <c r="D228" t="s">
        <v>103</v>
      </c>
      <c r="E228">
        <v>2102</v>
      </c>
      <c r="F228">
        <v>10.5</v>
      </c>
    </row>
    <row r="229" spans="1:6" x14ac:dyDescent="0.3">
      <c r="A229">
        <v>2024</v>
      </c>
      <c r="B229" t="s">
        <v>24</v>
      </c>
      <c r="C229" t="s">
        <v>233</v>
      </c>
      <c r="D229" t="s">
        <v>104</v>
      </c>
      <c r="E229">
        <v>1792</v>
      </c>
      <c r="F229">
        <v>9</v>
      </c>
    </row>
    <row r="230" spans="1:6" x14ac:dyDescent="0.3">
      <c r="A230">
        <v>2024</v>
      </c>
      <c r="B230" t="s">
        <v>24</v>
      </c>
      <c r="C230" t="s">
        <v>233</v>
      </c>
      <c r="D230" t="s">
        <v>105</v>
      </c>
      <c r="E230">
        <v>9575</v>
      </c>
      <c r="F230">
        <v>48</v>
      </c>
    </row>
    <row r="231" spans="1:6" x14ac:dyDescent="0.3">
      <c r="A231">
        <v>2024</v>
      </c>
      <c r="B231" t="s">
        <v>24</v>
      </c>
      <c r="C231" t="s">
        <v>233</v>
      </c>
      <c r="D231" t="s">
        <v>106</v>
      </c>
      <c r="E231">
        <v>2717</v>
      </c>
      <c r="F231">
        <v>13.6</v>
      </c>
    </row>
    <row r="232" spans="1:6" x14ac:dyDescent="0.3">
      <c r="A232">
        <v>2024</v>
      </c>
      <c r="B232" t="s">
        <v>24</v>
      </c>
      <c r="C232" t="s">
        <v>233</v>
      </c>
      <c r="D232" t="s">
        <v>107</v>
      </c>
      <c r="E232">
        <v>14</v>
      </c>
      <c r="F232">
        <v>0.1</v>
      </c>
    </row>
    <row r="233" spans="1:6" x14ac:dyDescent="0.3">
      <c r="A233">
        <v>2024</v>
      </c>
      <c r="B233" t="s">
        <v>24</v>
      </c>
      <c r="C233" t="s">
        <v>233</v>
      </c>
      <c r="D233" t="s">
        <v>108</v>
      </c>
      <c r="E233">
        <v>1491</v>
      </c>
      <c r="F233">
        <v>7.5</v>
      </c>
    </row>
    <row r="234" spans="1:6" x14ac:dyDescent="0.3">
      <c r="A234">
        <v>2024</v>
      </c>
      <c r="B234" t="s">
        <v>24</v>
      </c>
      <c r="C234" t="s">
        <v>234</v>
      </c>
      <c r="D234" t="s">
        <v>109</v>
      </c>
      <c r="E234">
        <v>7137</v>
      </c>
      <c r="F234">
        <v>51</v>
      </c>
    </row>
    <row r="235" spans="1:6" x14ac:dyDescent="0.3">
      <c r="A235">
        <v>2024</v>
      </c>
      <c r="B235" t="s">
        <v>24</v>
      </c>
      <c r="C235" t="s">
        <v>234</v>
      </c>
      <c r="D235" t="s">
        <v>110</v>
      </c>
      <c r="E235">
        <v>923</v>
      </c>
      <c r="F235">
        <v>6.6</v>
      </c>
    </row>
    <row r="236" spans="1:6" x14ac:dyDescent="0.3">
      <c r="A236">
        <v>2024</v>
      </c>
      <c r="B236" t="s">
        <v>24</v>
      </c>
      <c r="C236" t="s">
        <v>234</v>
      </c>
      <c r="D236" t="s">
        <v>111</v>
      </c>
      <c r="E236">
        <v>390</v>
      </c>
      <c r="F236">
        <v>2.8</v>
      </c>
    </row>
    <row r="237" spans="1:6" x14ac:dyDescent="0.3">
      <c r="A237">
        <v>2024</v>
      </c>
      <c r="B237" t="s">
        <v>24</v>
      </c>
      <c r="C237" t="s">
        <v>234</v>
      </c>
      <c r="D237" t="s">
        <v>112</v>
      </c>
      <c r="E237">
        <v>2470</v>
      </c>
      <c r="F237">
        <v>17.600000000000001</v>
      </c>
    </row>
    <row r="238" spans="1:6" x14ac:dyDescent="0.3">
      <c r="A238">
        <v>2024</v>
      </c>
      <c r="B238" t="s">
        <v>24</v>
      </c>
      <c r="C238" t="s">
        <v>234</v>
      </c>
      <c r="D238" t="s">
        <v>113</v>
      </c>
      <c r="E238">
        <v>1836</v>
      </c>
      <c r="F238">
        <v>13.1</v>
      </c>
    </row>
    <row r="239" spans="1:6" x14ac:dyDescent="0.3">
      <c r="A239">
        <v>2024</v>
      </c>
      <c r="B239" t="s">
        <v>24</v>
      </c>
      <c r="C239" t="s">
        <v>234</v>
      </c>
      <c r="D239" t="s">
        <v>114</v>
      </c>
      <c r="E239">
        <v>935</v>
      </c>
      <c r="F239">
        <v>6.7</v>
      </c>
    </row>
    <row r="240" spans="1:6" x14ac:dyDescent="0.3">
      <c r="A240">
        <v>2024</v>
      </c>
      <c r="B240" t="s">
        <v>24</v>
      </c>
      <c r="C240" t="s">
        <v>234</v>
      </c>
      <c r="D240" t="s">
        <v>115</v>
      </c>
      <c r="E240">
        <v>259</v>
      </c>
      <c r="F240">
        <v>1.9</v>
      </c>
    </row>
    <row r="241" spans="1:6" x14ac:dyDescent="0.3">
      <c r="A241">
        <v>2024</v>
      </c>
      <c r="B241" t="s">
        <v>24</v>
      </c>
      <c r="C241" t="s">
        <v>234</v>
      </c>
      <c r="D241" t="s">
        <v>116</v>
      </c>
      <c r="E241">
        <v>49</v>
      </c>
      <c r="F241">
        <v>0.4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30052-F37F-4C9E-A5E5-B841757FE338}">
  <dimension ref="A28:K282"/>
  <sheetViews>
    <sheetView tabSelected="1" workbookViewId="0">
      <selection activeCell="A124" sqref="A124"/>
    </sheetView>
  </sheetViews>
  <sheetFormatPr defaultRowHeight="14.4" x14ac:dyDescent="0.3"/>
  <cols>
    <col min="1" max="1" width="45.6640625" bestFit="1" customWidth="1"/>
    <col min="2" max="2" width="23.6640625" bestFit="1" customWidth="1"/>
    <col min="3" max="4" width="12" bestFit="1" customWidth="1"/>
    <col min="5" max="5" width="5" bestFit="1" customWidth="1"/>
    <col min="7" max="7" width="49.33203125" bestFit="1" customWidth="1"/>
    <col min="8" max="8" width="20.109375" bestFit="1" customWidth="1"/>
    <col min="9" max="11" width="5" bestFit="1" customWidth="1"/>
    <col min="12" max="12" width="11" bestFit="1" customWidth="1"/>
  </cols>
  <sheetData>
    <row r="28" spans="1:11" x14ac:dyDescent="0.3">
      <c r="A28" s="6" t="s">
        <v>236</v>
      </c>
    </row>
    <row r="29" spans="1:11" x14ac:dyDescent="0.3">
      <c r="G29" s="1" t="s">
        <v>237</v>
      </c>
      <c r="H29" s="1" t="s">
        <v>228</v>
      </c>
    </row>
    <row r="30" spans="1:11" x14ac:dyDescent="0.3">
      <c r="A30" s="1" t="s">
        <v>117</v>
      </c>
      <c r="B30" t="s">
        <v>229</v>
      </c>
      <c r="C30" t="s">
        <v>209</v>
      </c>
      <c r="D30" t="s">
        <v>210</v>
      </c>
      <c r="G30" s="1" t="s">
        <v>117</v>
      </c>
      <c r="H30">
        <v>2021</v>
      </c>
      <c r="I30">
        <v>2022</v>
      </c>
      <c r="J30">
        <v>2023</v>
      </c>
      <c r="K30">
        <v>2024</v>
      </c>
    </row>
    <row r="31" spans="1:11" x14ac:dyDescent="0.3">
      <c r="A31" s="2" t="s">
        <v>118</v>
      </c>
      <c r="B31" s="5">
        <v>0.27500000000000002</v>
      </c>
      <c r="C31" s="5">
        <v>51.274999999999999</v>
      </c>
      <c r="D31" s="5">
        <v>48.424999999999997</v>
      </c>
      <c r="G31" s="2" t="s">
        <v>224</v>
      </c>
      <c r="H31" s="3"/>
      <c r="I31" s="3"/>
      <c r="J31" s="3"/>
      <c r="K31" s="3"/>
    </row>
    <row r="32" spans="1:11" x14ac:dyDescent="0.3">
      <c r="A32" s="2" t="s">
        <v>186</v>
      </c>
      <c r="B32" s="5">
        <v>2.4500000000000002</v>
      </c>
      <c r="C32" s="5">
        <v>42.25</v>
      </c>
      <c r="D32" s="5">
        <v>55.3</v>
      </c>
      <c r="G32" s="4" t="s">
        <v>118</v>
      </c>
      <c r="H32" s="3">
        <v>7.8140000000000001</v>
      </c>
      <c r="I32" s="3">
        <v>7.492</v>
      </c>
      <c r="J32" s="3">
        <v>7.5520000000000005</v>
      </c>
      <c r="K32" s="3">
        <v>7.6020000000000003</v>
      </c>
    </row>
    <row r="33" spans="1:11" x14ac:dyDescent="0.3">
      <c r="A33" s="2" t="s">
        <v>119</v>
      </c>
      <c r="B33" s="5">
        <v>2.65</v>
      </c>
      <c r="C33" s="5">
        <v>44.55</v>
      </c>
      <c r="D33" s="5">
        <v>52.8</v>
      </c>
      <c r="G33" s="4" t="s">
        <v>186</v>
      </c>
      <c r="H33" s="3"/>
      <c r="I33" s="3"/>
      <c r="J33" s="3">
        <v>7.4709999999999992</v>
      </c>
      <c r="K33" s="3">
        <v>7.5109999999999992</v>
      </c>
    </row>
    <row r="34" spans="1:11" x14ac:dyDescent="0.3">
      <c r="A34" s="2" t="s">
        <v>120</v>
      </c>
      <c r="B34" s="5">
        <v>5.65</v>
      </c>
      <c r="C34" s="5">
        <v>46.35</v>
      </c>
      <c r="D34" s="5">
        <v>47.95</v>
      </c>
      <c r="G34" s="4" t="s">
        <v>119</v>
      </c>
      <c r="H34" s="3">
        <v>7.33</v>
      </c>
      <c r="I34" s="3">
        <v>7.42</v>
      </c>
      <c r="J34" s="3"/>
      <c r="K34" s="3"/>
    </row>
    <row r="35" spans="1:11" x14ac:dyDescent="0.3">
      <c r="A35" s="2" t="s">
        <v>121</v>
      </c>
      <c r="B35" s="5">
        <v>8.75</v>
      </c>
      <c r="C35" s="5">
        <v>44.349999999999994</v>
      </c>
      <c r="D35" s="5">
        <v>46.900000000000006</v>
      </c>
      <c r="G35" s="4" t="s">
        <v>120</v>
      </c>
      <c r="H35" s="3">
        <v>7.0419999999999998</v>
      </c>
      <c r="I35" s="3">
        <v>7.1400000000000006</v>
      </c>
      <c r="J35" s="3"/>
      <c r="K35" s="3"/>
    </row>
    <row r="36" spans="1:11" x14ac:dyDescent="0.3">
      <c r="A36" s="2" t="s">
        <v>187</v>
      </c>
      <c r="B36" s="5">
        <v>21.25</v>
      </c>
      <c r="C36" s="5">
        <v>48.5</v>
      </c>
      <c r="D36" s="5">
        <v>30.25</v>
      </c>
      <c r="G36" s="4" t="s">
        <v>121</v>
      </c>
      <c r="H36" s="3">
        <v>6.8709999999999996</v>
      </c>
      <c r="I36" s="3">
        <v>6.97</v>
      </c>
      <c r="J36" s="3"/>
      <c r="K36" s="3"/>
    </row>
    <row r="37" spans="1:11" x14ac:dyDescent="0.3">
      <c r="A37" s="2" t="s">
        <v>122</v>
      </c>
      <c r="B37" s="5">
        <v>3.15</v>
      </c>
      <c r="C37" s="5">
        <v>42.1</v>
      </c>
      <c r="D37" s="5">
        <v>54.7</v>
      </c>
      <c r="G37" s="4" t="s">
        <v>187</v>
      </c>
      <c r="H37" s="3"/>
      <c r="I37" s="3"/>
      <c r="J37" s="3">
        <v>5.7889999999999997</v>
      </c>
      <c r="K37" s="3">
        <v>5.8259999999999996</v>
      </c>
    </row>
    <row r="38" spans="1:11" x14ac:dyDescent="0.3">
      <c r="A38" s="2" t="s">
        <v>123</v>
      </c>
      <c r="B38" s="5">
        <v>23.65</v>
      </c>
      <c r="C38" s="5">
        <v>50.65</v>
      </c>
      <c r="D38" s="5">
        <v>25.65</v>
      </c>
      <c r="G38" s="4" t="s">
        <v>122</v>
      </c>
      <c r="H38" s="3">
        <v>7.3980000000000006</v>
      </c>
      <c r="I38" s="3">
        <v>7.4030000000000005</v>
      </c>
      <c r="J38" s="3"/>
      <c r="K38" s="3"/>
    </row>
    <row r="39" spans="1:11" x14ac:dyDescent="0.3">
      <c r="A39" s="2" t="s">
        <v>188</v>
      </c>
      <c r="B39" s="5">
        <v>24.75</v>
      </c>
      <c r="C39" s="5">
        <v>43.5</v>
      </c>
      <c r="D39" s="5">
        <v>31.700000000000003</v>
      </c>
      <c r="G39" s="4" t="s">
        <v>123</v>
      </c>
      <c r="H39" s="3">
        <v>5.5110000000000001</v>
      </c>
      <c r="I39" s="3">
        <v>5.5759999999999996</v>
      </c>
      <c r="J39" s="3"/>
      <c r="K39" s="3"/>
    </row>
    <row r="40" spans="1:11" x14ac:dyDescent="0.3">
      <c r="A40" s="2" t="s">
        <v>189</v>
      </c>
      <c r="B40" s="5">
        <v>2.6</v>
      </c>
      <c r="C40" s="5">
        <v>44.099999999999994</v>
      </c>
      <c r="D40" s="5">
        <v>53.25</v>
      </c>
      <c r="G40" s="4" t="s">
        <v>188</v>
      </c>
      <c r="H40" s="3"/>
      <c r="I40" s="3"/>
      <c r="J40" s="3">
        <v>5.8449999999999998</v>
      </c>
      <c r="K40" s="3">
        <v>5.6349999999999998</v>
      </c>
    </row>
    <row r="41" spans="1:11" x14ac:dyDescent="0.3">
      <c r="A41" s="2" t="s">
        <v>148</v>
      </c>
      <c r="B41" s="5">
        <v>28.4</v>
      </c>
      <c r="C41" s="5">
        <v>39</v>
      </c>
      <c r="D41" s="5">
        <v>32.6</v>
      </c>
      <c r="G41" s="4" t="s">
        <v>189</v>
      </c>
      <c r="H41" s="3"/>
      <c r="I41" s="3"/>
      <c r="J41" s="3">
        <v>7.4439999999999991</v>
      </c>
      <c r="K41" s="3">
        <v>7.4260000000000002</v>
      </c>
    </row>
    <row r="42" spans="1:11" x14ac:dyDescent="0.3">
      <c r="A42" s="2" t="s">
        <v>177</v>
      </c>
      <c r="B42" s="5">
        <v>27.7</v>
      </c>
      <c r="C42" s="5">
        <v>42.3</v>
      </c>
      <c r="D42" s="5">
        <v>30</v>
      </c>
      <c r="G42" s="4" t="s">
        <v>148</v>
      </c>
      <c r="H42" s="3">
        <v>5.6550000000000002</v>
      </c>
      <c r="I42" s="3"/>
      <c r="J42" s="3"/>
      <c r="K42" s="3"/>
    </row>
    <row r="43" spans="1:11" x14ac:dyDescent="0.3">
      <c r="A43" s="2" t="s">
        <v>131</v>
      </c>
      <c r="B43" s="5">
        <v>2.4500000000000002</v>
      </c>
      <c r="C43" s="5">
        <v>44.400000000000006</v>
      </c>
      <c r="D43" s="5">
        <v>53.1</v>
      </c>
      <c r="G43" s="4" t="s">
        <v>177</v>
      </c>
      <c r="H43" s="3"/>
      <c r="I43" s="3">
        <v>5.5650000000000004</v>
      </c>
      <c r="J43" s="3"/>
      <c r="K43" s="3"/>
    </row>
    <row r="44" spans="1:11" x14ac:dyDescent="0.3">
      <c r="A44" s="2" t="s">
        <v>190</v>
      </c>
      <c r="B44" s="5">
        <v>5.6</v>
      </c>
      <c r="C44" s="5">
        <v>47.900000000000006</v>
      </c>
      <c r="D44" s="5">
        <v>46.45</v>
      </c>
      <c r="G44" s="4" t="s">
        <v>131</v>
      </c>
      <c r="H44" s="3">
        <v>7.4020000000000001</v>
      </c>
      <c r="I44" s="3">
        <v>7.4309999999999992</v>
      </c>
      <c r="J44" s="3"/>
      <c r="K44" s="3"/>
    </row>
    <row r="45" spans="1:11" x14ac:dyDescent="0.3">
      <c r="A45" s="2" t="s">
        <v>191</v>
      </c>
      <c r="B45" s="5">
        <v>2</v>
      </c>
      <c r="C45" s="5">
        <v>40.450000000000003</v>
      </c>
      <c r="D45" s="5">
        <v>57.55</v>
      </c>
      <c r="G45" s="4" t="s">
        <v>190</v>
      </c>
      <c r="H45" s="3"/>
      <c r="I45" s="3"/>
      <c r="J45" s="3">
        <v>7.0490000000000004</v>
      </c>
      <c r="K45" s="3">
        <v>7.1219999999999999</v>
      </c>
    </row>
    <row r="46" spans="1:11" x14ac:dyDescent="0.3">
      <c r="A46" s="2" t="s">
        <v>149</v>
      </c>
      <c r="B46" s="5">
        <v>8.9</v>
      </c>
      <c r="C46" s="5">
        <v>56.6</v>
      </c>
      <c r="D46" s="5">
        <v>34.5</v>
      </c>
      <c r="G46" s="4" t="s">
        <v>191</v>
      </c>
      <c r="H46" s="3"/>
      <c r="I46" s="3"/>
      <c r="J46" s="3">
        <v>7.5359999999999996</v>
      </c>
      <c r="K46" s="3">
        <v>7.617</v>
      </c>
    </row>
    <row r="47" spans="1:11" x14ac:dyDescent="0.3">
      <c r="A47" s="2" t="s">
        <v>192</v>
      </c>
      <c r="B47" s="5">
        <v>4.75</v>
      </c>
      <c r="C47" s="5">
        <v>43.45</v>
      </c>
      <c r="D47" s="5">
        <v>51.75</v>
      </c>
      <c r="G47" s="4" t="s">
        <v>149</v>
      </c>
      <c r="H47" s="3">
        <v>6.4849999999999994</v>
      </c>
      <c r="I47" s="3"/>
      <c r="J47" s="3"/>
      <c r="K47" s="3"/>
    </row>
    <row r="48" spans="1:11" x14ac:dyDescent="0.3">
      <c r="A48" s="2" t="s">
        <v>178</v>
      </c>
      <c r="B48" s="5">
        <v>5.8</v>
      </c>
      <c r="C48" s="5">
        <v>54.5</v>
      </c>
      <c r="D48" s="5">
        <v>39.700000000000003</v>
      </c>
      <c r="G48" s="4" t="s">
        <v>192</v>
      </c>
      <c r="H48" s="3"/>
      <c r="I48" s="3"/>
      <c r="J48" s="3">
        <v>7.2409999999999997</v>
      </c>
      <c r="K48" s="3">
        <v>7.3339999999999996</v>
      </c>
    </row>
    <row r="49" spans="1:11" x14ac:dyDescent="0.3">
      <c r="A49" s="2" t="s">
        <v>150</v>
      </c>
      <c r="B49" s="5">
        <v>8.5</v>
      </c>
      <c r="C49" s="5">
        <v>57.2</v>
      </c>
      <c r="D49" s="5">
        <v>34.200000000000003</v>
      </c>
      <c r="G49" s="4" t="s">
        <v>178</v>
      </c>
      <c r="H49" s="3"/>
      <c r="I49" s="3">
        <v>6.8239999999999998</v>
      </c>
      <c r="J49" s="3"/>
      <c r="K49" s="3"/>
    </row>
    <row r="50" spans="1:11" x14ac:dyDescent="0.3">
      <c r="A50" s="2" t="s">
        <v>193</v>
      </c>
      <c r="B50" s="5">
        <v>2.65</v>
      </c>
      <c r="C50" s="5">
        <v>42.4</v>
      </c>
      <c r="D50" s="5">
        <v>54.95</v>
      </c>
      <c r="G50" s="4" t="s">
        <v>150</v>
      </c>
      <c r="H50" s="3">
        <v>6.5069999999999988</v>
      </c>
      <c r="I50" s="3"/>
      <c r="J50" s="3"/>
      <c r="K50" s="3"/>
    </row>
    <row r="51" spans="1:11" x14ac:dyDescent="0.3">
      <c r="A51" s="2" t="s">
        <v>179</v>
      </c>
      <c r="B51" s="5">
        <v>2.5</v>
      </c>
      <c r="C51" s="5">
        <v>44.8</v>
      </c>
      <c r="D51" s="5">
        <v>52.7</v>
      </c>
      <c r="G51" s="4" t="s">
        <v>193</v>
      </c>
      <c r="H51" s="3"/>
      <c r="I51" s="3"/>
      <c r="J51" s="3">
        <v>7.4109999999999996</v>
      </c>
      <c r="K51" s="3">
        <v>7.5270000000000001</v>
      </c>
    </row>
    <row r="52" spans="1:11" x14ac:dyDescent="0.3">
      <c r="A52" s="2" t="s">
        <v>151</v>
      </c>
      <c r="B52" s="5">
        <v>6.1</v>
      </c>
      <c r="C52" s="5">
        <v>51.3</v>
      </c>
      <c r="D52" s="5">
        <v>42.6</v>
      </c>
      <c r="G52" s="4" t="s">
        <v>179</v>
      </c>
      <c r="H52" s="3"/>
      <c r="I52" s="3">
        <v>7.383</v>
      </c>
      <c r="J52" s="3"/>
      <c r="K52" s="3"/>
    </row>
    <row r="53" spans="1:11" x14ac:dyDescent="0.3">
      <c r="A53" s="2" t="s">
        <v>180</v>
      </c>
      <c r="B53" s="5">
        <v>4.5999999999999996</v>
      </c>
      <c r="C53" s="5">
        <v>48.3</v>
      </c>
      <c r="D53" s="5">
        <v>47.1</v>
      </c>
      <c r="G53" s="4" t="s">
        <v>151</v>
      </c>
      <c r="H53" s="3">
        <v>6.8520000000000003</v>
      </c>
      <c r="I53" s="3"/>
      <c r="J53" s="3"/>
      <c r="K53" s="3"/>
    </row>
    <row r="54" spans="1:11" x14ac:dyDescent="0.3">
      <c r="A54" s="2" t="s">
        <v>194</v>
      </c>
      <c r="B54" s="5">
        <v>0.8</v>
      </c>
      <c r="C54" s="5">
        <v>31.55</v>
      </c>
      <c r="D54" s="5">
        <v>67.650000000000006</v>
      </c>
      <c r="G54" s="4" t="s">
        <v>180</v>
      </c>
      <c r="H54" s="3"/>
      <c r="I54" s="3">
        <v>7.1339999999999995</v>
      </c>
      <c r="J54" s="3"/>
      <c r="K54" s="3"/>
    </row>
    <row r="55" spans="1:11" x14ac:dyDescent="0.3">
      <c r="A55" s="2" t="s">
        <v>152</v>
      </c>
      <c r="B55" s="5">
        <v>16</v>
      </c>
      <c r="C55" s="5">
        <v>56</v>
      </c>
      <c r="D55" s="5">
        <v>27.9</v>
      </c>
      <c r="G55" s="4" t="s">
        <v>194</v>
      </c>
      <c r="H55" s="3"/>
      <c r="I55" s="3"/>
      <c r="J55" s="3">
        <v>7.92</v>
      </c>
      <c r="K55" s="3">
        <v>8.0129999999999999</v>
      </c>
    </row>
    <row r="56" spans="1:11" x14ac:dyDescent="0.3">
      <c r="A56" s="2" t="s">
        <v>181</v>
      </c>
      <c r="B56" s="5">
        <v>3.9</v>
      </c>
      <c r="C56" s="5">
        <v>48.6</v>
      </c>
      <c r="D56" s="5">
        <v>47.6</v>
      </c>
      <c r="G56" s="4" t="s">
        <v>152</v>
      </c>
      <c r="H56" s="3">
        <v>5.9459999999999997</v>
      </c>
      <c r="I56" s="3"/>
      <c r="J56" s="3"/>
      <c r="K56" s="3"/>
    </row>
    <row r="57" spans="1:11" x14ac:dyDescent="0.3">
      <c r="A57" s="2" t="s">
        <v>195</v>
      </c>
      <c r="B57" s="5">
        <v>0.95</v>
      </c>
      <c r="C57" s="5">
        <v>33.150000000000006</v>
      </c>
      <c r="D57" s="5">
        <v>65.949999999999989</v>
      </c>
      <c r="G57" s="4" t="s">
        <v>181</v>
      </c>
      <c r="H57" s="3"/>
      <c r="I57" s="3">
        <v>7.1949999999999994</v>
      </c>
      <c r="J57" s="3"/>
      <c r="K57" s="3"/>
    </row>
    <row r="58" spans="1:11" x14ac:dyDescent="0.3">
      <c r="A58" s="2" t="s">
        <v>153</v>
      </c>
      <c r="B58" s="5">
        <v>4.2</v>
      </c>
      <c r="C58" s="5">
        <v>50.6</v>
      </c>
      <c r="D58" s="5">
        <v>45.1</v>
      </c>
      <c r="G58" s="4" t="s">
        <v>195</v>
      </c>
      <c r="H58" s="3"/>
      <c r="I58" s="3"/>
      <c r="J58" s="3">
        <v>7.8730000000000002</v>
      </c>
      <c r="K58" s="3">
        <v>7.9409999999999998</v>
      </c>
    </row>
    <row r="59" spans="1:11" x14ac:dyDescent="0.3">
      <c r="A59" s="2" t="s">
        <v>196</v>
      </c>
      <c r="B59" s="5">
        <v>1</v>
      </c>
      <c r="C59" s="5">
        <v>34.75</v>
      </c>
      <c r="D59" s="5">
        <v>64.25</v>
      </c>
      <c r="G59" s="4" t="s">
        <v>153</v>
      </c>
      <c r="H59" s="3">
        <v>7.0429999999999993</v>
      </c>
      <c r="I59" s="3"/>
      <c r="J59" s="3"/>
      <c r="K59" s="3"/>
    </row>
    <row r="60" spans="1:11" x14ac:dyDescent="0.3">
      <c r="A60" s="2" t="s">
        <v>154</v>
      </c>
      <c r="B60" s="5">
        <v>4.9000000000000004</v>
      </c>
      <c r="C60" s="5">
        <v>48.9</v>
      </c>
      <c r="D60" s="5">
        <v>46.3</v>
      </c>
      <c r="G60" s="4" t="s">
        <v>196</v>
      </c>
      <c r="H60" s="3"/>
      <c r="I60" s="3"/>
      <c r="J60" s="3">
        <v>7.8049999999999997</v>
      </c>
      <c r="K60" s="3">
        <v>7.8629999999999995</v>
      </c>
    </row>
    <row r="61" spans="1:11" x14ac:dyDescent="0.3">
      <c r="A61" s="2" t="s">
        <v>197</v>
      </c>
      <c r="B61" s="5">
        <v>1.2</v>
      </c>
      <c r="C61" s="5">
        <v>35.549999999999997</v>
      </c>
      <c r="D61" s="5">
        <v>63.25</v>
      </c>
      <c r="G61" s="4" t="s">
        <v>154</v>
      </c>
      <c r="H61" s="3">
        <v>7.0180000000000007</v>
      </c>
      <c r="I61" s="3"/>
      <c r="J61" s="3"/>
      <c r="K61" s="3"/>
    </row>
    <row r="62" spans="1:11" x14ac:dyDescent="0.3">
      <c r="A62" s="2" t="s">
        <v>198</v>
      </c>
      <c r="B62" s="5">
        <v>1.4</v>
      </c>
      <c r="C62" s="5">
        <v>30.299999999999997</v>
      </c>
      <c r="D62" s="5">
        <v>68.3</v>
      </c>
      <c r="G62" s="4" t="s">
        <v>197</v>
      </c>
      <c r="H62" s="3"/>
      <c r="I62" s="3"/>
      <c r="J62" s="3">
        <v>7.76</v>
      </c>
      <c r="K62" s="3">
        <v>7.8290000000000006</v>
      </c>
    </row>
    <row r="63" spans="1:11" x14ac:dyDescent="0.3">
      <c r="A63" s="2" t="s">
        <v>155</v>
      </c>
      <c r="B63" s="5">
        <v>2.0499999999999998</v>
      </c>
      <c r="C63" s="5">
        <v>36.099999999999994</v>
      </c>
      <c r="D63" s="5">
        <v>61.8</v>
      </c>
      <c r="G63" s="4" t="s">
        <v>198</v>
      </c>
      <c r="H63" s="3"/>
      <c r="I63" s="3"/>
      <c r="J63" s="3">
        <v>7.9370000000000012</v>
      </c>
      <c r="K63" s="3">
        <v>7.9980000000000002</v>
      </c>
    </row>
    <row r="64" spans="1:11" x14ac:dyDescent="0.3">
      <c r="A64" s="2" t="s">
        <v>199</v>
      </c>
      <c r="B64" s="5">
        <v>0.5</v>
      </c>
      <c r="C64" s="5">
        <v>25.65</v>
      </c>
      <c r="D64" s="5">
        <v>73.849999999999994</v>
      </c>
      <c r="G64" s="4" t="s">
        <v>155</v>
      </c>
      <c r="H64" s="3">
        <v>7.6180000000000003</v>
      </c>
      <c r="I64" s="3">
        <v>7.769000000000001</v>
      </c>
      <c r="J64" s="3"/>
      <c r="K64" s="3"/>
    </row>
    <row r="65" spans="1:11" x14ac:dyDescent="0.3">
      <c r="A65" s="2" t="s">
        <v>156</v>
      </c>
      <c r="B65" s="5">
        <v>2.5499999999999998</v>
      </c>
      <c r="C65" s="5">
        <v>38.049999999999997</v>
      </c>
      <c r="D65" s="5">
        <v>59.4</v>
      </c>
      <c r="G65" s="4" t="s">
        <v>199</v>
      </c>
      <c r="H65" s="3"/>
      <c r="I65" s="3"/>
      <c r="J65" s="3">
        <v>8.2560000000000002</v>
      </c>
      <c r="K65" s="3">
        <v>8.2899999999999991</v>
      </c>
    </row>
    <row r="66" spans="1:11" x14ac:dyDescent="0.3">
      <c r="A66" s="2" t="s">
        <v>200</v>
      </c>
      <c r="B66" s="5">
        <v>1.2000000000000002</v>
      </c>
      <c r="C66" s="5">
        <v>34.400000000000006</v>
      </c>
      <c r="D66" s="5">
        <v>64.349999999999994</v>
      </c>
      <c r="G66" s="4" t="s">
        <v>156</v>
      </c>
      <c r="H66" s="3">
        <v>7.5069999999999997</v>
      </c>
      <c r="I66" s="3">
        <v>7.7089999999999996</v>
      </c>
      <c r="J66" s="3"/>
      <c r="K66" s="3"/>
    </row>
    <row r="67" spans="1:11" x14ac:dyDescent="0.3">
      <c r="A67" s="2" t="s">
        <v>157</v>
      </c>
      <c r="B67" s="5">
        <v>2.4</v>
      </c>
      <c r="C67" s="5">
        <v>40.450000000000003</v>
      </c>
      <c r="D67" s="5">
        <v>57.150000000000006</v>
      </c>
      <c r="G67" s="4" t="s">
        <v>200</v>
      </c>
      <c r="H67" s="3"/>
      <c r="I67" s="3"/>
      <c r="J67" s="3">
        <v>7.8250000000000011</v>
      </c>
      <c r="K67" s="3">
        <v>7.8770000000000007</v>
      </c>
    </row>
    <row r="68" spans="1:11" x14ac:dyDescent="0.3">
      <c r="A68" s="2" t="s">
        <v>201</v>
      </c>
      <c r="B68" s="5">
        <v>2.1</v>
      </c>
      <c r="C68" s="5">
        <v>40.85</v>
      </c>
      <c r="D68" s="5">
        <v>57.05</v>
      </c>
      <c r="G68" s="4" t="s">
        <v>157</v>
      </c>
      <c r="H68" s="3">
        <v>7.455000000000001</v>
      </c>
      <c r="I68" s="3">
        <v>7.601</v>
      </c>
      <c r="J68" s="3"/>
      <c r="K68" s="3"/>
    </row>
    <row r="69" spans="1:11" x14ac:dyDescent="0.3">
      <c r="A69" s="2" t="s">
        <v>158</v>
      </c>
      <c r="B69" s="5">
        <v>2.5499999999999998</v>
      </c>
      <c r="C69" s="5">
        <v>41.3</v>
      </c>
      <c r="D69" s="5">
        <v>56.15</v>
      </c>
      <c r="G69" s="4" t="s">
        <v>201</v>
      </c>
      <c r="H69" s="3"/>
      <c r="I69" s="3"/>
      <c r="J69" s="3">
        <v>7.5609999999999999</v>
      </c>
      <c r="K69" s="3">
        <v>7.580000000000001</v>
      </c>
    </row>
    <row r="70" spans="1:11" x14ac:dyDescent="0.3">
      <c r="A70" s="2" t="s">
        <v>202</v>
      </c>
      <c r="B70" s="5">
        <v>1.95</v>
      </c>
      <c r="C70" s="5">
        <v>36.85</v>
      </c>
      <c r="D70" s="5">
        <v>61.150000000000006</v>
      </c>
      <c r="G70" s="4" t="s">
        <v>158</v>
      </c>
      <c r="H70" s="3">
        <v>7.4469999999999992</v>
      </c>
      <c r="I70" s="3">
        <v>7.5750000000000002</v>
      </c>
      <c r="J70" s="3"/>
      <c r="K70" s="3"/>
    </row>
    <row r="71" spans="1:11" x14ac:dyDescent="0.3">
      <c r="A71" s="2" t="s">
        <v>159</v>
      </c>
      <c r="B71" s="5">
        <v>2.0499999999999998</v>
      </c>
      <c r="C71" s="5">
        <v>32.5</v>
      </c>
      <c r="D71" s="5">
        <v>65.5</v>
      </c>
      <c r="G71" s="4" t="s">
        <v>202</v>
      </c>
      <c r="H71" s="3"/>
      <c r="I71" s="3"/>
      <c r="J71" s="3">
        <v>7.633</v>
      </c>
      <c r="K71" s="3">
        <v>7.7519999999999998</v>
      </c>
    </row>
    <row r="72" spans="1:11" x14ac:dyDescent="0.3">
      <c r="A72" s="2" t="s">
        <v>160</v>
      </c>
      <c r="B72" s="5">
        <v>0.95000000000000007</v>
      </c>
      <c r="C72" s="5">
        <v>26.25</v>
      </c>
      <c r="D72" s="5">
        <v>72.75</v>
      </c>
      <c r="G72" s="4" t="s">
        <v>159</v>
      </c>
      <c r="H72" s="3">
        <v>7.8219999999999992</v>
      </c>
      <c r="I72" s="3">
        <v>7.918000000000001</v>
      </c>
      <c r="J72" s="3"/>
      <c r="K72" s="3"/>
    </row>
    <row r="73" spans="1:11" x14ac:dyDescent="0.3">
      <c r="A73" s="2" t="s">
        <v>203</v>
      </c>
      <c r="B73" s="5">
        <v>2.4000000000000004</v>
      </c>
      <c r="C73" s="5">
        <v>38.549999999999997</v>
      </c>
      <c r="D73" s="5">
        <v>59.1</v>
      </c>
      <c r="G73" s="4" t="s">
        <v>160</v>
      </c>
      <c r="H73" s="3">
        <v>8.2110000000000003</v>
      </c>
      <c r="I73" s="3">
        <v>8.2629999999999999</v>
      </c>
      <c r="J73" s="3"/>
      <c r="K73" s="3"/>
    </row>
    <row r="74" spans="1:11" x14ac:dyDescent="0.3">
      <c r="A74" s="2" t="s">
        <v>161</v>
      </c>
      <c r="B74" s="5">
        <v>1.35</v>
      </c>
      <c r="C74" s="5">
        <v>36.5</v>
      </c>
      <c r="D74" s="5">
        <v>62.15</v>
      </c>
      <c r="G74" s="4" t="s">
        <v>203</v>
      </c>
      <c r="H74" s="3"/>
      <c r="I74" s="3"/>
      <c r="J74" s="3">
        <v>7.5540000000000003</v>
      </c>
      <c r="K74" s="3">
        <v>7.6419999999999995</v>
      </c>
    </row>
    <row r="75" spans="1:11" x14ac:dyDescent="0.3">
      <c r="A75" s="2" t="s">
        <v>204</v>
      </c>
      <c r="B75" s="5">
        <v>3.15</v>
      </c>
      <c r="C75" s="5">
        <v>37.950000000000003</v>
      </c>
      <c r="D75" s="5">
        <v>58.85</v>
      </c>
      <c r="G75" s="4" t="s">
        <v>161</v>
      </c>
      <c r="H75" s="3">
        <v>7.766</v>
      </c>
      <c r="I75" s="3">
        <v>7.7989999999999995</v>
      </c>
      <c r="J75" s="3"/>
      <c r="K75" s="3"/>
    </row>
    <row r="76" spans="1:11" x14ac:dyDescent="0.3">
      <c r="A76" s="2" t="s">
        <v>162</v>
      </c>
      <c r="B76" s="5">
        <v>3.4</v>
      </c>
      <c r="C76" s="5">
        <v>43.35</v>
      </c>
      <c r="D76" s="5">
        <v>53.25</v>
      </c>
      <c r="G76" s="4" t="s">
        <v>204</v>
      </c>
      <c r="H76" s="3"/>
      <c r="I76" s="3"/>
      <c r="J76" s="3">
        <v>7.4979999999999993</v>
      </c>
      <c r="K76" s="3">
        <v>7.6349999999999998</v>
      </c>
    </row>
    <row r="77" spans="1:11" x14ac:dyDescent="0.3">
      <c r="A77" s="2" t="s">
        <v>205</v>
      </c>
      <c r="B77" s="5">
        <v>1.9</v>
      </c>
      <c r="C77" s="5">
        <v>33.799999999999997</v>
      </c>
      <c r="D77" s="5">
        <v>64.3</v>
      </c>
      <c r="G77" s="4" t="s">
        <v>162</v>
      </c>
      <c r="H77" s="3">
        <v>7.3650000000000002</v>
      </c>
      <c r="I77" s="3">
        <v>7.4170000000000016</v>
      </c>
      <c r="J77" s="3"/>
      <c r="K77" s="3"/>
    </row>
    <row r="78" spans="1:11" x14ac:dyDescent="0.3">
      <c r="A78" s="2" t="s">
        <v>206</v>
      </c>
      <c r="B78" s="5">
        <v>1.2000000000000002</v>
      </c>
      <c r="C78" s="5">
        <v>31.75</v>
      </c>
      <c r="D78" s="5">
        <v>67.099999999999994</v>
      </c>
      <c r="G78" s="4" t="s">
        <v>205</v>
      </c>
      <c r="H78" s="3"/>
      <c r="I78" s="3"/>
      <c r="J78" s="3">
        <v>7.7359999999999998</v>
      </c>
      <c r="K78" s="3">
        <v>7.867</v>
      </c>
    </row>
    <row r="79" spans="1:11" x14ac:dyDescent="0.3">
      <c r="A79" s="2" t="s">
        <v>207</v>
      </c>
      <c r="B79" s="5">
        <v>1.4</v>
      </c>
      <c r="C79" s="5">
        <v>38.349999999999994</v>
      </c>
      <c r="D79" s="5">
        <v>60.2</v>
      </c>
      <c r="G79" s="4" t="s">
        <v>206</v>
      </c>
      <c r="H79" s="3"/>
      <c r="I79" s="3"/>
      <c r="J79" s="3">
        <v>7.88</v>
      </c>
      <c r="K79" s="3">
        <v>8.0250000000000004</v>
      </c>
    </row>
    <row r="80" spans="1:11" x14ac:dyDescent="0.3">
      <c r="A80" s="2" t="s">
        <v>208</v>
      </c>
      <c r="B80" s="5">
        <v>1.95</v>
      </c>
      <c r="C80" s="5">
        <v>28.7</v>
      </c>
      <c r="D80" s="5">
        <v>69.400000000000006</v>
      </c>
      <c r="G80" s="4" t="s">
        <v>207</v>
      </c>
      <c r="H80" s="3"/>
      <c r="I80" s="3"/>
      <c r="J80" s="3">
        <v>7.5949999999999998</v>
      </c>
      <c r="K80" s="3">
        <v>7.7379999999999995</v>
      </c>
    </row>
    <row r="81" spans="1:11" x14ac:dyDescent="0.3">
      <c r="A81" s="2" t="s">
        <v>163</v>
      </c>
      <c r="B81" s="5">
        <v>2.75</v>
      </c>
      <c r="C81" s="5">
        <v>43.4</v>
      </c>
      <c r="D81" s="5">
        <v>53.85</v>
      </c>
      <c r="G81" s="4" t="s">
        <v>208</v>
      </c>
      <c r="H81" s="3"/>
      <c r="I81" s="3"/>
      <c r="J81" s="3">
        <v>8.0279999999999987</v>
      </c>
      <c r="K81" s="3">
        <v>8.093</v>
      </c>
    </row>
    <row r="82" spans="1:11" x14ac:dyDescent="0.3">
      <c r="A82" s="2" t="s">
        <v>164</v>
      </c>
      <c r="B82" s="5">
        <v>2.8</v>
      </c>
      <c r="C82" s="5">
        <v>45.1</v>
      </c>
      <c r="D82" s="5">
        <v>52.15</v>
      </c>
      <c r="G82" s="4" t="s">
        <v>163</v>
      </c>
      <c r="H82" s="3">
        <v>7.319</v>
      </c>
      <c r="I82" s="3">
        <v>7.4989999999999997</v>
      </c>
      <c r="J82" s="3"/>
      <c r="K82" s="3"/>
    </row>
    <row r="83" spans="1:11" x14ac:dyDescent="0.3">
      <c r="A83" s="2" t="s">
        <v>124</v>
      </c>
      <c r="B83" s="5">
        <v>3.55</v>
      </c>
      <c r="C83" s="5">
        <v>44.7</v>
      </c>
      <c r="D83" s="5">
        <v>51.75</v>
      </c>
      <c r="G83" s="4" t="s">
        <v>164</v>
      </c>
      <c r="H83" s="3">
        <v>7.2679999999999998</v>
      </c>
      <c r="I83" s="3">
        <v>7.4079999999999995</v>
      </c>
      <c r="J83" s="3"/>
      <c r="K83" s="3"/>
    </row>
    <row r="84" spans="1:11" x14ac:dyDescent="0.3">
      <c r="A84" s="2" t="s">
        <v>125</v>
      </c>
      <c r="B84" s="5">
        <v>2.2999999999999998</v>
      </c>
      <c r="C84" s="5">
        <v>39.5</v>
      </c>
      <c r="D84" s="5">
        <v>58.25</v>
      </c>
      <c r="G84" s="4" t="s">
        <v>124</v>
      </c>
      <c r="H84" s="3">
        <v>7.2220000000000004</v>
      </c>
      <c r="I84" s="3">
        <v>7.3529999999999989</v>
      </c>
      <c r="J84" s="3"/>
      <c r="K84" s="3"/>
    </row>
    <row r="85" spans="1:11" x14ac:dyDescent="0.3">
      <c r="A85" s="2" t="s">
        <v>165</v>
      </c>
      <c r="B85" s="5">
        <v>1.35</v>
      </c>
      <c r="C85" s="5">
        <v>38.1</v>
      </c>
      <c r="D85" s="5">
        <v>60.55</v>
      </c>
      <c r="G85" s="4" t="s">
        <v>125</v>
      </c>
      <c r="H85" s="3">
        <v>7.5040000000000004</v>
      </c>
      <c r="I85" s="3">
        <v>7.6429999999999998</v>
      </c>
      <c r="J85" s="3"/>
      <c r="K85" s="3"/>
    </row>
    <row r="86" spans="1:11" x14ac:dyDescent="0.3">
      <c r="A86" s="2" t="s">
        <v>166</v>
      </c>
      <c r="B86" s="5">
        <v>1.7</v>
      </c>
      <c r="C86" s="5">
        <v>44.599999999999994</v>
      </c>
      <c r="D86" s="5">
        <v>53.7</v>
      </c>
      <c r="G86" s="4" t="s">
        <v>165</v>
      </c>
      <c r="H86" s="3">
        <v>7.6349999999999998</v>
      </c>
      <c r="I86" s="3">
        <v>7.774</v>
      </c>
      <c r="J86" s="3"/>
      <c r="K86" s="3"/>
    </row>
    <row r="87" spans="1:11" x14ac:dyDescent="0.3">
      <c r="A87" s="2" t="s">
        <v>126</v>
      </c>
      <c r="B87" s="5">
        <v>0.60000000000000009</v>
      </c>
      <c r="C87" s="5">
        <v>45.275000000000006</v>
      </c>
      <c r="D87" s="5">
        <v>54.1</v>
      </c>
      <c r="G87" s="4" t="s">
        <v>166</v>
      </c>
      <c r="H87" s="3">
        <v>7.3680000000000003</v>
      </c>
      <c r="I87" s="3">
        <v>7.5040000000000004</v>
      </c>
      <c r="J87" s="3"/>
      <c r="K87" s="3"/>
    </row>
    <row r="88" spans="1:11" x14ac:dyDescent="0.3">
      <c r="A88" s="2" t="s">
        <v>167</v>
      </c>
      <c r="B88" s="5">
        <v>10.050000000000001</v>
      </c>
      <c r="C88" s="5">
        <v>53.75</v>
      </c>
      <c r="D88" s="5">
        <v>36.200000000000003</v>
      </c>
      <c r="G88" s="4" t="s">
        <v>126</v>
      </c>
      <c r="H88" s="3">
        <v>7.57</v>
      </c>
      <c r="I88" s="3">
        <v>7.5560000000000009</v>
      </c>
      <c r="J88" s="3">
        <v>7.657</v>
      </c>
      <c r="K88" s="3">
        <v>7.6370000000000005</v>
      </c>
    </row>
    <row r="89" spans="1:11" x14ac:dyDescent="0.3">
      <c r="A89" s="2" t="s">
        <v>168</v>
      </c>
      <c r="B89" s="5">
        <v>5.0999999999999996</v>
      </c>
      <c r="C89" s="5">
        <v>47</v>
      </c>
      <c r="D89" s="5">
        <v>47.900000000000006</v>
      </c>
      <c r="G89" s="4" t="s">
        <v>167</v>
      </c>
      <c r="H89" s="3">
        <v>6.5100000000000007</v>
      </c>
      <c r="I89" s="3">
        <v>6.5019999999999998</v>
      </c>
      <c r="J89" s="3"/>
      <c r="K89" s="3"/>
    </row>
    <row r="90" spans="1:11" x14ac:dyDescent="0.3">
      <c r="A90" s="2" t="s">
        <v>169</v>
      </c>
      <c r="B90" s="5">
        <v>4.4000000000000004</v>
      </c>
      <c r="C90" s="5">
        <v>43.85</v>
      </c>
      <c r="D90" s="5">
        <v>51.75</v>
      </c>
      <c r="G90" s="4" t="s">
        <v>168</v>
      </c>
      <c r="H90" s="3">
        <v>7.1129999999999995</v>
      </c>
      <c r="I90" s="3">
        <v>7.0390000000000006</v>
      </c>
      <c r="J90" s="3"/>
      <c r="K90" s="3"/>
    </row>
    <row r="91" spans="1:11" x14ac:dyDescent="0.3">
      <c r="A91" s="2" t="s">
        <v>170</v>
      </c>
      <c r="B91" s="5">
        <v>2.2000000000000002</v>
      </c>
      <c r="C91" s="5">
        <v>31.15</v>
      </c>
      <c r="D91" s="5">
        <v>66.650000000000006</v>
      </c>
      <c r="G91" s="4" t="s">
        <v>169</v>
      </c>
      <c r="H91" s="3">
        <v>7.2370000000000001</v>
      </c>
      <c r="I91" s="3">
        <v>7.245000000000001</v>
      </c>
      <c r="J91" s="3"/>
      <c r="K91" s="3"/>
    </row>
    <row r="92" spans="1:11" x14ac:dyDescent="0.3">
      <c r="A92" s="2" t="s">
        <v>127</v>
      </c>
      <c r="B92" s="5">
        <v>2.8749999999999996</v>
      </c>
      <c r="C92" s="5">
        <v>47.174999999999997</v>
      </c>
      <c r="D92" s="5">
        <v>49.925000000000004</v>
      </c>
      <c r="G92" s="4" t="s">
        <v>170</v>
      </c>
      <c r="H92" s="3">
        <v>7.8580000000000005</v>
      </c>
      <c r="I92" s="3">
        <v>7.99</v>
      </c>
      <c r="J92" s="3"/>
      <c r="K92" s="3"/>
    </row>
    <row r="93" spans="1:11" x14ac:dyDescent="0.3">
      <c r="A93" s="2" t="s">
        <v>128</v>
      </c>
      <c r="B93" s="5">
        <v>0.375</v>
      </c>
      <c r="C93" s="5">
        <v>62.475000000000001</v>
      </c>
      <c r="D93" s="5">
        <v>37.125</v>
      </c>
      <c r="G93" s="4" t="s">
        <v>127</v>
      </c>
      <c r="H93" s="3">
        <v>7.2120000000000006</v>
      </c>
      <c r="I93" s="3">
        <v>7.2619999999999996</v>
      </c>
      <c r="J93" s="3">
        <v>7.3339999999999996</v>
      </c>
      <c r="K93" s="3">
        <v>7.4290000000000012</v>
      </c>
    </row>
    <row r="94" spans="1:11" x14ac:dyDescent="0.3">
      <c r="A94" s="2" t="s">
        <v>171</v>
      </c>
      <c r="B94" s="5">
        <v>1.3666666666666665</v>
      </c>
      <c r="C94" s="5">
        <v>35.6</v>
      </c>
      <c r="D94" s="5">
        <v>63</v>
      </c>
      <c r="G94" s="4" t="s">
        <v>128</v>
      </c>
      <c r="H94" s="3">
        <v>7.0629999999999997</v>
      </c>
      <c r="I94" s="3">
        <v>7.0149999999999988</v>
      </c>
      <c r="J94" s="3">
        <v>7.0990000000000002</v>
      </c>
      <c r="K94" s="3">
        <v>7.1610000000000014</v>
      </c>
    </row>
    <row r="95" spans="1:11" x14ac:dyDescent="0.3">
      <c r="A95" s="2" t="s">
        <v>140</v>
      </c>
      <c r="B95" s="5">
        <v>1.3</v>
      </c>
      <c r="C95" s="5">
        <v>35.4</v>
      </c>
      <c r="D95" s="5">
        <v>63.3</v>
      </c>
      <c r="G95" s="4" t="s">
        <v>171</v>
      </c>
      <c r="H95" s="3"/>
      <c r="I95" s="3">
        <v>7.839999999999999</v>
      </c>
      <c r="J95" s="3">
        <v>7.8120000000000012</v>
      </c>
      <c r="K95" s="3">
        <v>7.8879999999999999</v>
      </c>
    </row>
    <row r="96" spans="1:11" x14ac:dyDescent="0.3">
      <c r="A96" s="2" t="s">
        <v>129</v>
      </c>
      <c r="B96" s="5">
        <v>1.3</v>
      </c>
      <c r="C96" s="5">
        <v>53.5</v>
      </c>
      <c r="D96" s="5">
        <v>45.2</v>
      </c>
      <c r="G96" s="4" t="s">
        <v>140</v>
      </c>
      <c r="H96" s="3">
        <v>7.7739999999999991</v>
      </c>
      <c r="I96" s="3"/>
      <c r="J96" s="3"/>
      <c r="K96" s="3"/>
    </row>
    <row r="97" spans="1:11" x14ac:dyDescent="0.3">
      <c r="A97" s="2" t="s">
        <v>172</v>
      </c>
      <c r="B97" s="5">
        <v>0.39999999999999997</v>
      </c>
      <c r="C97" s="5">
        <v>16.833333333333332</v>
      </c>
      <c r="D97" s="5">
        <v>82.733333333333334</v>
      </c>
      <c r="G97" s="4" t="s">
        <v>129</v>
      </c>
      <c r="H97" s="3">
        <v>7.1689999999999987</v>
      </c>
      <c r="I97" s="3"/>
      <c r="J97" s="3"/>
      <c r="K97" s="3"/>
    </row>
    <row r="98" spans="1:11" x14ac:dyDescent="0.3">
      <c r="A98" s="2" t="s">
        <v>173</v>
      </c>
      <c r="B98" s="5">
        <v>0.56666666666666654</v>
      </c>
      <c r="C98" s="5">
        <v>20.766666666666666</v>
      </c>
      <c r="D98" s="5">
        <v>78.666666666666671</v>
      </c>
      <c r="G98" s="4" t="s">
        <v>172</v>
      </c>
      <c r="H98" s="3"/>
      <c r="I98" s="3">
        <v>8.6649999999999991</v>
      </c>
      <c r="J98" s="3">
        <v>8.6280000000000001</v>
      </c>
      <c r="K98" s="3">
        <v>8.6509999999999998</v>
      </c>
    </row>
    <row r="99" spans="1:11" x14ac:dyDescent="0.3">
      <c r="A99" s="2" t="s">
        <v>174</v>
      </c>
      <c r="B99" s="5">
        <v>1.0666666666666667</v>
      </c>
      <c r="C99" s="5">
        <v>24.533333333333331</v>
      </c>
      <c r="D99" s="5">
        <v>74.399999999999991</v>
      </c>
      <c r="G99" s="4" t="s">
        <v>173</v>
      </c>
      <c r="H99" s="3"/>
      <c r="I99" s="3">
        <v>8.4780000000000015</v>
      </c>
      <c r="J99" s="3">
        <v>8.4400000000000013</v>
      </c>
      <c r="K99" s="3">
        <v>8.4450000000000003</v>
      </c>
    </row>
    <row r="100" spans="1:11" x14ac:dyDescent="0.3">
      <c r="A100" s="2" t="s">
        <v>141</v>
      </c>
      <c r="B100" s="5">
        <v>0.6</v>
      </c>
      <c r="C100" s="5">
        <v>28.7</v>
      </c>
      <c r="D100" s="5">
        <v>70.7</v>
      </c>
      <c r="G100" s="4" t="s">
        <v>174</v>
      </c>
      <c r="H100" s="3"/>
      <c r="I100" s="3">
        <v>8.3189999999999991</v>
      </c>
      <c r="J100" s="3">
        <v>8.27</v>
      </c>
      <c r="K100" s="3">
        <v>8.2629999999999999</v>
      </c>
    </row>
    <row r="101" spans="1:11" x14ac:dyDescent="0.3">
      <c r="A101" s="2" t="s">
        <v>175</v>
      </c>
      <c r="B101" s="5">
        <v>0.3</v>
      </c>
      <c r="C101" s="5">
        <v>61.733333333333327</v>
      </c>
      <c r="D101" s="5">
        <v>37.933333333333337</v>
      </c>
      <c r="G101" s="4" t="s">
        <v>141</v>
      </c>
      <c r="H101" s="3">
        <v>8.1340000000000003</v>
      </c>
      <c r="I101" s="3"/>
      <c r="J101" s="3"/>
      <c r="K101" s="3"/>
    </row>
    <row r="102" spans="1:11" x14ac:dyDescent="0.3">
      <c r="A102" s="2" t="s">
        <v>182</v>
      </c>
      <c r="B102" s="5">
        <v>1.4</v>
      </c>
      <c r="C102" s="5">
        <v>42.8</v>
      </c>
      <c r="D102" s="5">
        <v>55.8</v>
      </c>
      <c r="G102" s="4" t="s">
        <v>175</v>
      </c>
      <c r="H102" s="3"/>
      <c r="I102" s="3">
        <v>7.1330000000000009</v>
      </c>
      <c r="J102" s="3">
        <v>7.2460000000000004</v>
      </c>
      <c r="K102" s="3">
        <v>7.2500000000000009</v>
      </c>
    </row>
    <row r="103" spans="1:11" x14ac:dyDescent="0.3">
      <c r="A103" s="2" t="s">
        <v>176</v>
      </c>
      <c r="B103" s="5">
        <v>0.5</v>
      </c>
      <c r="C103" s="5">
        <v>26.7</v>
      </c>
      <c r="D103" s="5">
        <v>72.8</v>
      </c>
      <c r="G103" s="4" t="s">
        <v>182</v>
      </c>
      <c r="H103" s="3"/>
      <c r="I103" s="3"/>
      <c r="J103" s="3">
        <v>7.6309999999999993</v>
      </c>
      <c r="K103" s="3">
        <v>7.5830000000000002</v>
      </c>
    </row>
    <row r="104" spans="1:11" x14ac:dyDescent="0.3">
      <c r="A104" s="2" t="s">
        <v>142</v>
      </c>
      <c r="B104" s="5">
        <v>6.4</v>
      </c>
      <c r="C104" s="5">
        <v>50.5</v>
      </c>
      <c r="D104" s="5">
        <v>43.1</v>
      </c>
      <c r="G104" s="4" t="s">
        <v>176</v>
      </c>
      <c r="H104" s="3"/>
      <c r="I104" s="3">
        <v>8.2579999999999991</v>
      </c>
      <c r="J104" s="3"/>
      <c r="K104" s="3"/>
    </row>
    <row r="105" spans="1:11" x14ac:dyDescent="0.3">
      <c r="A105" s="2" t="s">
        <v>143</v>
      </c>
      <c r="B105" s="5">
        <v>7.7</v>
      </c>
      <c r="C105" s="5">
        <v>53.8</v>
      </c>
      <c r="D105" s="5">
        <v>38.5</v>
      </c>
      <c r="G105" s="4" t="s">
        <v>142</v>
      </c>
      <c r="H105" s="3">
        <v>6.8939999999999992</v>
      </c>
      <c r="I105" s="3"/>
      <c r="J105" s="3"/>
      <c r="K105" s="3"/>
    </row>
    <row r="106" spans="1:11" x14ac:dyDescent="0.3">
      <c r="A106" s="2" t="s">
        <v>144</v>
      </c>
      <c r="B106" s="5">
        <v>6.8</v>
      </c>
      <c r="C106" s="5">
        <v>49.4</v>
      </c>
      <c r="D106" s="5">
        <v>43.7</v>
      </c>
      <c r="G106" s="4" t="s">
        <v>143</v>
      </c>
      <c r="H106" s="3">
        <v>6.6890000000000001</v>
      </c>
      <c r="I106" s="3"/>
      <c r="J106" s="3"/>
      <c r="K106" s="3"/>
    </row>
    <row r="107" spans="1:11" x14ac:dyDescent="0.3">
      <c r="A107" s="2" t="s">
        <v>145</v>
      </c>
      <c r="B107" s="5">
        <v>8.5</v>
      </c>
      <c r="C107" s="5">
        <v>53.8</v>
      </c>
      <c r="D107" s="5">
        <v>37.700000000000003</v>
      </c>
      <c r="G107" s="4" t="s">
        <v>144</v>
      </c>
      <c r="H107" s="3">
        <v>6.9390000000000001</v>
      </c>
      <c r="I107" s="3"/>
      <c r="J107" s="3"/>
      <c r="K107" s="3"/>
    </row>
    <row r="108" spans="1:11" x14ac:dyDescent="0.3">
      <c r="A108" s="2" t="s">
        <v>146</v>
      </c>
      <c r="B108" s="5">
        <v>7.6</v>
      </c>
      <c r="C108" s="5">
        <v>49.5</v>
      </c>
      <c r="D108" s="5">
        <v>42.9</v>
      </c>
      <c r="G108" s="4" t="s">
        <v>145</v>
      </c>
      <c r="H108" s="3">
        <v>6.6269999999999998</v>
      </c>
      <c r="I108" s="3"/>
      <c r="J108" s="3"/>
      <c r="K108" s="3"/>
    </row>
    <row r="109" spans="1:11" x14ac:dyDescent="0.3">
      <c r="A109" s="2" t="s">
        <v>147</v>
      </c>
      <c r="B109" s="5">
        <v>4.5999999999999996</v>
      </c>
      <c r="C109" s="5">
        <v>42.4</v>
      </c>
      <c r="D109" s="5">
        <v>53</v>
      </c>
      <c r="G109" s="4" t="s">
        <v>146</v>
      </c>
      <c r="H109" s="3">
        <v>6.8579999999999997</v>
      </c>
      <c r="I109" s="3"/>
      <c r="J109" s="3"/>
      <c r="K109" s="3"/>
    </row>
    <row r="110" spans="1:11" x14ac:dyDescent="0.3">
      <c r="A110" s="2" t="s">
        <v>130</v>
      </c>
      <c r="B110" s="5">
        <v>2.25</v>
      </c>
      <c r="C110" s="5">
        <v>41.8</v>
      </c>
      <c r="D110" s="5">
        <v>55.95</v>
      </c>
      <c r="G110" s="4" t="s">
        <v>147</v>
      </c>
      <c r="H110" s="3">
        <v>7.3439999999999994</v>
      </c>
      <c r="I110" s="3"/>
      <c r="J110" s="3"/>
      <c r="K110" s="3"/>
    </row>
    <row r="111" spans="1:11" x14ac:dyDescent="0.3">
      <c r="A111" s="2" t="s">
        <v>183</v>
      </c>
      <c r="B111" s="5">
        <v>2.7</v>
      </c>
      <c r="C111" s="5">
        <v>44.3</v>
      </c>
      <c r="D111" s="5">
        <v>53</v>
      </c>
      <c r="G111" s="4" t="s">
        <v>130</v>
      </c>
      <c r="H111" s="3">
        <v>7.4019999999999992</v>
      </c>
      <c r="I111" s="3">
        <v>7.636000000000001</v>
      </c>
      <c r="J111" s="3"/>
      <c r="K111" s="3"/>
    </row>
    <row r="112" spans="1:11" x14ac:dyDescent="0.3">
      <c r="A112" s="2" t="s">
        <v>184</v>
      </c>
      <c r="B112" s="5">
        <v>6.0500000000000007</v>
      </c>
      <c r="C112" s="5">
        <v>44.65</v>
      </c>
      <c r="D112" s="5">
        <v>49.3</v>
      </c>
      <c r="G112" s="4" t="s">
        <v>183</v>
      </c>
      <c r="H112" s="3"/>
      <c r="I112" s="3"/>
      <c r="J112" s="3">
        <v>7.3860000000000001</v>
      </c>
      <c r="K112" s="3">
        <v>7.4300000000000006</v>
      </c>
    </row>
    <row r="113" spans="1:11" x14ac:dyDescent="0.3">
      <c r="A113" s="2" t="s">
        <v>185</v>
      </c>
      <c r="B113" s="5">
        <v>7.8</v>
      </c>
      <c r="C113" s="5">
        <v>44.349999999999994</v>
      </c>
      <c r="D113" s="5">
        <v>47.900000000000006</v>
      </c>
      <c r="G113" s="4" t="s">
        <v>184</v>
      </c>
      <c r="H113" s="3"/>
      <c r="I113" s="3"/>
      <c r="J113" s="3">
        <v>7.1290000000000004</v>
      </c>
      <c r="K113" s="3">
        <v>7.2240000000000002</v>
      </c>
    </row>
    <row r="114" spans="1:11" x14ac:dyDescent="0.3">
      <c r="G114" s="4" t="s">
        <v>185</v>
      </c>
      <c r="H114" s="3"/>
      <c r="I114" s="3"/>
      <c r="J114" s="3">
        <v>6.9529999999999994</v>
      </c>
      <c r="K114" s="3">
        <v>7.1029999999999998</v>
      </c>
    </row>
    <row r="115" spans="1:11" x14ac:dyDescent="0.3">
      <c r="A115" s="1" t="s">
        <v>239</v>
      </c>
      <c r="B115" t="s">
        <v>238</v>
      </c>
      <c r="G115" s="2" t="s">
        <v>225</v>
      </c>
      <c r="H115" s="3"/>
      <c r="I115" s="3"/>
      <c r="J115" s="3"/>
      <c r="K115" s="3"/>
    </row>
    <row r="116" spans="1:11" x14ac:dyDescent="0.3">
      <c r="A116" s="2" t="s">
        <v>199</v>
      </c>
      <c r="B116" s="3">
        <v>8.2784999999999993</v>
      </c>
      <c r="G116" s="4" t="s">
        <v>118</v>
      </c>
      <c r="H116" s="3">
        <v>7.6689999999999996</v>
      </c>
      <c r="I116" s="3">
        <v>7.456999999999999</v>
      </c>
      <c r="J116" s="3">
        <v>7.5069999999999997</v>
      </c>
      <c r="K116" s="3">
        <v>7.5019999999999998</v>
      </c>
    </row>
    <row r="117" spans="1:11" x14ac:dyDescent="0.3">
      <c r="A117" s="2" t="s">
        <v>172</v>
      </c>
      <c r="B117" s="3">
        <v>8.6490000000000009</v>
      </c>
      <c r="G117" s="4" t="s">
        <v>186</v>
      </c>
      <c r="H117" s="3"/>
      <c r="I117" s="3"/>
      <c r="J117" s="3">
        <v>7.0559999999999992</v>
      </c>
      <c r="K117" s="3">
        <v>7.2679999999999998</v>
      </c>
    </row>
    <row r="118" spans="1:11" x14ac:dyDescent="0.3">
      <c r="A118" s="2" t="s">
        <v>173</v>
      </c>
      <c r="B118" s="3">
        <v>8.4643333333333324</v>
      </c>
      <c r="G118" s="4" t="s">
        <v>119</v>
      </c>
      <c r="H118" s="3">
        <v>7.069</v>
      </c>
      <c r="I118" s="3">
        <v>7.1639999999999997</v>
      </c>
      <c r="J118" s="3"/>
      <c r="K118" s="3"/>
    </row>
    <row r="119" spans="1:11" x14ac:dyDescent="0.3">
      <c r="A119" s="2" t="s">
        <v>174</v>
      </c>
      <c r="B119" s="3">
        <v>8.2875555555555565</v>
      </c>
      <c r="G119" s="4" t="s">
        <v>120</v>
      </c>
      <c r="H119" s="3">
        <v>6.5549999999999997</v>
      </c>
      <c r="I119" s="3">
        <v>6.6670000000000007</v>
      </c>
      <c r="J119" s="3"/>
      <c r="K119" s="3"/>
    </row>
    <row r="120" spans="1:11" x14ac:dyDescent="0.3">
      <c r="A120" s="2" t="s">
        <v>176</v>
      </c>
      <c r="B120" s="3">
        <v>8.259666666666666</v>
      </c>
      <c r="G120" s="4" t="s">
        <v>121</v>
      </c>
      <c r="H120" s="3">
        <v>6.4080000000000004</v>
      </c>
      <c r="I120" s="3">
        <v>6.5280000000000005</v>
      </c>
      <c r="J120" s="3"/>
      <c r="K120" s="3"/>
    </row>
    <row r="121" spans="1:11" x14ac:dyDescent="0.3">
      <c r="G121" s="4" t="s">
        <v>187</v>
      </c>
      <c r="H121" s="3"/>
      <c r="I121" s="3"/>
      <c r="J121" s="3">
        <v>5.6379999999999999</v>
      </c>
      <c r="K121" s="3">
        <v>5.6689999999999996</v>
      </c>
    </row>
    <row r="122" spans="1:11" x14ac:dyDescent="0.3">
      <c r="G122" s="4" t="s">
        <v>122</v>
      </c>
      <c r="H122" s="3">
        <v>7.0580000000000007</v>
      </c>
      <c r="I122" s="3">
        <v>7.0609999999999999</v>
      </c>
      <c r="J122" s="3"/>
      <c r="K122" s="3"/>
    </row>
    <row r="123" spans="1:11" x14ac:dyDescent="0.3">
      <c r="A123" s="1" t="s">
        <v>240</v>
      </c>
      <c r="B123" t="s">
        <v>238</v>
      </c>
      <c r="G123" s="4" t="s">
        <v>123</v>
      </c>
      <c r="H123" s="3">
        <v>5.28</v>
      </c>
      <c r="I123" s="3">
        <v>5.4649999999999999</v>
      </c>
      <c r="J123" s="3"/>
      <c r="K123" s="3"/>
    </row>
    <row r="124" spans="1:11" x14ac:dyDescent="0.3">
      <c r="A124" s="2" t="s">
        <v>187</v>
      </c>
      <c r="B124" s="3">
        <v>5.8106666666666671</v>
      </c>
      <c r="G124" s="4" t="s">
        <v>188</v>
      </c>
      <c r="H124" s="3"/>
      <c r="I124" s="3"/>
      <c r="J124" s="3">
        <v>5.7410000000000005</v>
      </c>
      <c r="K124" s="3">
        <v>5.49</v>
      </c>
    </row>
    <row r="125" spans="1:11" x14ac:dyDescent="0.3">
      <c r="A125" s="2" t="s">
        <v>123</v>
      </c>
      <c r="B125" s="3">
        <v>5.5523333333333342</v>
      </c>
      <c r="G125" s="4" t="s">
        <v>189</v>
      </c>
      <c r="H125" s="3"/>
      <c r="I125" s="3"/>
      <c r="J125" s="3">
        <v>7.2890000000000006</v>
      </c>
      <c r="K125" s="3">
        <v>7.2930000000000001</v>
      </c>
    </row>
    <row r="126" spans="1:11" x14ac:dyDescent="0.3">
      <c r="A126" s="2" t="s">
        <v>188</v>
      </c>
      <c r="B126" s="3">
        <v>5.7541666666666673</v>
      </c>
      <c r="G126" s="4" t="s">
        <v>148</v>
      </c>
      <c r="H126" s="3">
        <v>5.4989999999999997</v>
      </c>
      <c r="I126" s="3"/>
      <c r="J126" s="3"/>
      <c r="K126" s="3"/>
    </row>
    <row r="127" spans="1:11" x14ac:dyDescent="0.3">
      <c r="A127" s="2" t="s">
        <v>148</v>
      </c>
      <c r="B127" s="3">
        <v>5.6673333333333327</v>
      </c>
      <c r="G127" s="4" t="s">
        <v>177</v>
      </c>
      <c r="H127" s="3"/>
      <c r="I127" s="3">
        <v>5.4619999999999997</v>
      </c>
      <c r="J127" s="3"/>
      <c r="K127" s="3"/>
    </row>
    <row r="128" spans="1:11" x14ac:dyDescent="0.3">
      <c r="A128" s="2" t="s">
        <v>177</v>
      </c>
      <c r="B128" s="3">
        <v>5.5680000000000005</v>
      </c>
      <c r="G128" s="4" t="s">
        <v>131</v>
      </c>
      <c r="H128" s="3">
        <v>7.2479999999999993</v>
      </c>
      <c r="I128" s="3">
        <v>7.3279999999999994</v>
      </c>
      <c r="J128" s="3"/>
      <c r="K128" s="3"/>
    </row>
    <row r="129" spans="7:11" x14ac:dyDescent="0.3">
      <c r="G129" s="4" t="s">
        <v>190</v>
      </c>
      <c r="H129" s="3"/>
      <c r="I129" s="3"/>
      <c r="J129" s="3">
        <v>6.8940000000000001</v>
      </c>
      <c r="K129" s="3">
        <v>6.9709999999999992</v>
      </c>
    </row>
    <row r="130" spans="7:11" x14ac:dyDescent="0.3">
      <c r="G130" s="4" t="s">
        <v>191</v>
      </c>
      <c r="H130" s="3"/>
      <c r="I130" s="3"/>
      <c r="J130" s="3">
        <v>7.4130000000000003</v>
      </c>
      <c r="K130" s="3">
        <v>7.5110000000000001</v>
      </c>
    </row>
    <row r="131" spans="7:11" x14ac:dyDescent="0.3">
      <c r="G131" s="4" t="s">
        <v>149</v>
      </c>
      <c r="H131" s="3">
        <v>6.2789999999999999</v>
      </c>
      <c r="I131" s="3"/>
      <c r="J131" s="3"/>
      <c r="K131" s="3"/>
    </row>
    <row r="132" spans="7:11" x14ac:dyDescent="0.3">
      <c r="G132" s="4" t="s">
        <v>192</v>
      </c>
      <c r="H132" s="3"/>
      <c r="I132" s="3"/>
      <c r="J132" s="3">
        <v>7.1120000000000001</v>
      </c>
      <c r="K132" s="3">
        <v>7.1970000000000001</v>
      </c>
    </row>
    <row r="133" spans="7:11" x14ac:dyDescent="0.3">
      <c r="G133" s="4" t="s">
        <v>178</v>
      </c>
      <c r="H133" s="3"/>
      <c r="I133" s="3">
        <v>6.7079999999999993</v>
      </c>
      <c r="J133" s="3"/>
      <c r="K133" s="3"/>
    </row>
    <row r="134" spans="7:11" x14ac:dyDescent="0.3">
      <c r="G134" s="4" t="s">
        <v>150</v>
      </c>
      <c r="H134" s="3">
        <v>6.3279999999999994</v>
      </c>
      <c r="I134" s="3"/>
      <c r="J134" s="3"/>
      <c r="K134" s="3"/>
    </row>
    <row r="135" spans="7:11" x14ac:dyDescent="0.3">
      <c r="G135" s="4" t="s">
        <v>193</v>
      </c>
      <c r="H135" s="3"/>
      <c r="I135" s="3"/>
      <c r="J135" s="3">
        <v>7.2959999999999994</v>
      </c>
      <c r="K135" s="3">
        <v>7.4459999999999997</v>
      </c>
    </row>
    <row r="136" spans="7:11" x14ac:dyDescent="0.3">
      <c r="G136" s="4" t="s">
        <v>179</v>
      </c>
      <c r="H136" s="3"/>
      <c r="I136" s="3">
        <v>7.2770000000000001</v>
      </c>
      <c r="J136" s="3"/>
      <c r="K136" s="3"/>
    </row>
    <row r="137" spans="7:11" x14ac:dyDescent="0.3">
      <c r="G137" s="4" t="s">
        <v>151</v>
      </c>
      <c r="H137" s="3">
        <v>6.669999999999999</v>
      </c>
      <c r="I137" s="3"/>
      <c r="J137" s="3"/>
      <c r="K137" s="3"/>
    </row>
    <row r="138" spans="7:11" x14ac:dyDescent="0.3">
      <c r="G138" s="4" t="s">
        <v>180</v>
      </c>
      <c r="H138" s="3"/>
      <c r="I138" s="3">
        <v>7.0059999999999993</v>
      </c>
      <c r="J138" s="3"/>
      <c r="K138" s="3"/>
    </row>
    <row r="139" spans="7:11" x14ac:dyDescent="0.3">
      <c r="G139" s="4" t="s">
        <v>194</v>
      </c>
      <c r="H139" s="3"/>
      <c r="I139" s="3"/>
      <c r="J139" s="3">
        <v>7.7910000000000004</v>
      </c>
      <c r="K139" s="3">
        <v>7.8619999999999992</v>
      </c>
    </row>
    <row r="140" spans="7:11" x14ac:dyDescent="0.3">
      <c r="G140" s="4" t="s">
        <v>152</v>
      </c>
      <c r="H140" s="3">
        <v>5.7960000000000003</v>
      </c>
      <c r="I140" s="3"/>
      <c r="J140" s="3"/>
      <c r="K140" s="3"/>
    </row>
    <row r="141" spans="7:11" x14ac:dyDescent="0.3">
      <c r="G141" s="4" t="s">
        <v>181</v>
      </c>
      <c r="H141" s="3"/>
      <c r="I141" s="3">
        <v>7.1270000000000007</v>
      </c>
      <c r="J141" s="3"/>
      <c r="K141" s="3"/>
    </row>
    <row r="142" spans="7:11" x14ac:dyDescent="0.3">
      <c r="G142" s="4" t="s">
        <v>195</v>
      </c>
      <c r="H142" s="3"/>
      <c r="I142" s="3"/>
      <c r="J142" s="3">
        <v>7.774</v>
      </c>
      <c r="K142" s="3">
        <v>7.827</v>
      </c>
    </row>
    <row r="143" spans="7:11" x14ac:dyDescent="0.3">
      <c r="G143" s="4" t="s">
        <v>153</v>
      </c>
      <c r="H143" s="3">
        <v>6.907</v>
      </c>
      <c r="I143" s="3"/>
      <c r="J143" s="3"/>
      <c r="K143" s="3"/>
    </row>
    <row r="144" spans="7:11" x14ac:dyDescent="0.3">
      <c r="G144" s="4" t="s">
        <v>196</v>
      </c>
      <c r="H144" s="3"/>
      <c r="I144" s="3"/>
      <c r="J144" s="3">
        <v>7.7099999999999991</v>
      </c>
      <c r="K144" s="3">
        <v>7.7480000000000002</v>
      </c>
    </row>
    <row r="145" spans="7:11" x14ac:dyDescent="0.3">
      <c r="G145" s="4" t="s">
        <v>154</v>
      </c>
      <c r="H145" s="3">
        <v>6.8929999999999998</v>
      </c>
      <c r="I145" s="3"/>
      <c r="J145" s="3"/>
      <c r="K145" s="3"/>
    </row>
    <row r="146" spans="7:11" x14ac:dyDescent="0.3">
      <c r="G146" s="4" t="s">
        <v>197</v>
      </c>
      <c r="H146" s="3"/>
      <c r="I146" s="3"/>
      <c r="J146" s="3">
        <v>7.6850000000000005</v>
      </c>
      <c r="K146" s="3">
        <v>7.7200000000000006</v>
      </c>
    </row>
    <row r="147" spans="7:11" x14ac:dyDescent="0.3">
      <c r="G147" s="4" t="s">
        <v>198</v>
      </c>
      <c r="H147" s="3"/>
      <c r="I147" s="3"/>
      <c r="J147" s="3">
        <v>7.8389999999999995</v>
      </c>
      <c r="K147" s="3">
        <v>7.8900000000000006</v>
      </c>
    </row>
    <row r="148" spans="7:11" x14ac:dyDescent="0.3">
      <c r="G148" s="4" t="s">
        <v>155</v>
      </c>
      <c r="H148" s="3">
        <v>7.45</v>
      </c>
      <c r="I148" s="3">
        <v>7.6230000000000002</v>
      </c>
      <c r="J148" s="3"/>
      <c r="K148" s="3"/>
    </row>
    <row r="149" spans="7:11" x14ac:dyDescent="0.3">
      <c r="G149" s="4" t="s">
        <v>199</v>
      </c>
      <c r="H149" s="3"/>
      <c r="I149" s="3"/>
      <c r="J149" s="3">
        <v>8.1580000000000013</v>
      </c>
      <c r="K149" s="3">
        <v>8.1869999999999994</v>
      </c>
    </row>
    <row r="150" spans="7:11" x14ac:dyDescent="0.3">
      <c r="G150" s="4" t="s">
        <v>156</v>
      </c>
      <c r="H150" s="3">
        <v>7.351</v>
      </c>
      <c r="I150" s="3">
        <v>7.6039999999999992</v>
      </c>
      <c r="J150" s="3"/>
      <c r="K150" s="3"/>
    </row>
    <row r="151" spans="7:11" x14ac:dyDescent="0.3">
      <c r="G151" s="4" t="s">
        <v>200</v>
      </c>
      <c r="H151" s="3"/>
      <c r="I151" s="3"/>
      <c r="J151" s="3">
        <v>7.7239999999999993</v>
      </c>
      <c r="K151" s="3">
        <v>7.7850000000000001</v>
      </c>
    </row>
    <row r="152" spans="7:11" x14ac:dyDescent="0.3">
      <c r="G152" s="4" t="s">
        <v>157</v>
      </c>
      <c r="H152" s="3">
        <v>7.3150000000000013</v>
      </c>
      <c r="I152" s="3">
        <v>7.4659999999999993</v>
      </c>
      <c r="J152" s="3"/>
      <c r="K152" s="3"/>
    </row>
    <row r="153" spans="7:11" x14ac:dyDescent="0.3">
      <c r="G153" s="4" t="s">
        <v>201</v>
      </c>
      <c r="H153" s="3"/>
      <c r="I153" s="3"/>
      <c r="J153" s="3">
        <v>7.4669999999999996</v>
      </c>
      <c r="K153" s="3">
        <v>7.4719999999999995</v>
      </c>
    </row>
    <row r="154" spans="7:11" x14ac:dyDescent="0.3">
      <c r="G154" s="4" t="s">
        <v>158</v>
      </c>
      <c r="H154" s="3">
        <v>7.3140000000000001</v>
      </c>
      <c r="I154" s="3">
        <v>7.4360000000000008</v>
      </c>
      <c r="J154" s="3"/>
      <c r="K154" s="3"/>
    </row>
    <row r="155" spans="7:11" x14ac:dyDescent="0.3">
      <c r="G155" s="4" t="s">
        <v>202</v>
      </c>
      <c r="H155" s="3"/>
      <c r="I155" s="3"/>
      <c r="J155" s="3">
        <v>7.5309999999999988</v>
      </c>
      <c r="K155" s="3">
        <v>7.673</v>
      </c>
    </row>
    <row r="156" spans="7:11" x14ac:dyDescent="0.3">
      <c r="G156" s="4" t="s">
        <v>159</v>
      </c>
      <c r="H156" s="3">
        <v>7.7110000000000003</v>
      </c>
      <c r="I156" s="3">
        <v>7.7930000000000001</v>
      </c>
      <c r="J156" s="3"/>
      <c r="K156" s="3"/>
    </row>
    <row r="157" spans="7:11" x14ac:dyDescent="0.3">
      <c r="G157" s="4" t="s">
        <v>160</v>
      </c>
      <c r="H157" s="3">
        <v>8.0860000000000003</v>
      </c>
      <c r="I157" s="3">
        <v>8.152000000000001</v>
      </c>
      <c r="J157" s="3"/>
      <c r="K157" s="3"/>
    </row>
    <row r="158" spans="7:11" x14ac:dyDescent="0.3">
      <c r="G158" s="4" t="s">
        <v>203</v>
      </c>
      <c r="H158" s="3"/>
      <c r="I158" s="3"/>
      <c r="J158" s="3">
        <v>7.4730000000000008</v>
      </c>
      <c r="K158" s="3">
        <v>7.5609999999999999</v>
      </c>
    </row>
    <row r="159" spans="7:11" x14ac:dyDescent="0.3">
      <c r="G159" s="4" t="s">
        <v>161</v>
      </c>
      <c r="H159" s="3">
        <v>7.66</v>
      </c>
      <c r="I159" s="3">
        <v>7.6920000000000002</v>
      </c>
      <c r="J159" s="3"/>
      <c r="K159" s="3"/>
    </row>
    <row r="160" spans="7:11" x14ac:dyDescent="0.3">
      <c r="G160" s="4" t="s">
        <v>204</v>
      </c>
      <c r="H160" s="3"/>
      <c r="I160" s="3"/>
      <c r="J160" s="3">
        <v>7.4090000000000007</v>
      </c>
      <c r="K160" s="3">
        <v>7.5619999999999994</v>
      </c>
    </row>
    <row r="161" spans="7:11" x14ac:dyDescent="0.3">
      <c r="G161" s="4" t="s">
        <v>162</v>
      </c>
      <c r="H161" s="3">
        <v>7.277000000000001</v>
      </c>
      <c r="I161" s="3">
        <v>7.2910000000000004</v>
      </c>
      <c r="J161" s="3"/>
      <c r="K161" s="3"/>
    </row>
    <row r="162" spans="7:11" x14ac:dyDescent="0.3">
      <c r="G162" s="4" t="s">
        <v>205</v>
      </c>
      <c r="H162" s="3"/>
      <c r="I162" s="3"/>
      <c r="J162" s="3">
        <v>7.6870000000000003</v>
      </c>
      <c r="K162" s="3">
        <v>7.8209999999999997</v>
      </c>
    </row>
    <row r="163" spans="7:11" x14ac:dyDescent="0.3">
      <c r="G163" s="4" t="s">
        <v>206</v>
      </c>
      <c r="H163" s="3"/>
      <c r="I163" s="3"/>
      <c r="J163" s="3">
        <v>7.8460000000000001</v>
      </c>
      <c r="K163" s="3">
        <v>7.9980000000000002</v>
      </c>
    </row>
    <row r="164" spans="7:11" x14ac:dyDescent="0.3">
      <c r="G164" s="4" t="s">
        <v>207</v>
      </c>
      <c r="H164" s="3"/>
      <c r="I164" s="3"/>
      <c r="J164" s="3">
        <v>7.5210000000000008</v>
      </c>
      <c r="K164" s="3">
        <v>7.657</v>
      </c>
    </row>
    <row r="165" spans="7:11" x14ac:dyDescent="0.3">
      <c r="G165" s="4" t="s">
        <v>208</v>
      </c>
      <c r="H165" s="3"/>
      <c r="I165" s="3"/>
      <c r="J165" s="3">
        <v>7.9909999999999997</v>
      </c>
      <c r="K165" s="3">
        <v>8.02</v>
      </c>
    </row>
    <row r="166" spans="7:11" x14ac:dyDescent="0.3">
      <c r="G166" s="4" t="s">
        <v>163</v>
      </c>
      <c r="H166" s="3">
        <v>7.2059999999999995</v>
      </c>
      <c r="I166" s="3">
        <v>7.4019999999999992</v>
      </c>
      <c r="J166" s="3"/>
      <c r="K166" s="3"/>
    </row>
    <row r="167" spans="7:11" x14ac:dyDescent="0.3">
      <c r="G167" s="4" t="s">
        <v>164</v>
      </c>
      <c r="H167" s="3">
        <v>7.1580000000000004</v>
      </c>
      <c r="I167" s="3">
        <v>7.3180000000000005</v>
      </c>
      <c r="J167" s="3"/>
      <c r="K167" s="3"/>
    </row>
    <row r="168" spans="7:11" x14ac:dyDescent="0.3">
      <c r="G168" s="4" t="s">
        <v>124</v>
      </c>
      <c r="H168" s="3">
        <v>7.1079999999999997</v>
      </c>
      <c r="I168" s="3">
        <v>7.2929999999999993</v>
      </c>
      <c r="J168" s="3"/>
      <c r="K168" s="3"/>
    </row>
    <row r="169" spans="7:11" x14ac:dyDescent="0.3">
      <c r="G169" s="4" t="s">
        <v>125</v>
      </c>
      <c r="H169" s="3">
        <v>7.4150000000000009</v>
      </c>
      <c r="I169" s="3">
        <v>7.6239999999999997</v>
      </c>
      <c r="J169" s="3"/>
      <c r="K169" s="3"/>
    </row>
    <row r="170" spans="7:11" x14ac:dyDescent="0.3">
      <c r="G170" s="4" t="s">
        <v>165</v>
      </c>
      <c r="H170" s="3">
        <v>7.5330000000000004</v>
      </c>
      <c r="I170" s="3">
        <v>7.7060000000000004</v>
      </c>
      <c r="J170" s="3"/>
      <c r="K170" s="3"/>
    </row>
    <row r="171" spans="7:11" x14ac:dyDescent="0.3">
      <c r="G171" s="4" t="s">
        <v>166</v>
      </c>
      <c r="H171" s="3">
        <v>7.246999999999999</v>
      </c>
      <c r="I171" s="3">
        <v>7.4089999999999998</v>
      </c>
      <c r="J171" s="3"/>
      <c r="K171" s="3"/>
    </row>
    <row r="172" spans="7:11" x14ac:dyDescent="0.3">
      <c r="G172" s="4" t="s">
        <v>126</v>
      </c>
      <c r="H172" s="3">
        <v>7.4329999999999998</v>
      </c>
      <c r="I172" s="3">
        <v>7.4809999999999999</v>
      </c>
      <c r="J172" s="3">
        <v>7.6069999999999993</v>
      </c>
      <c r="K172" s="3">
        <v>7.5439999999999996</v>
      </c>
    </row>
    <row r="173" spans="7:11" x14ac:dyDescent="0.3">
      <c r="G173" s="4" t="s">
        <v>167</v>
      </c>
      <c r="H173" s="3">
        <v>6.3949999999999996</v>
      </c>
      <c r="I173" s="3">
        <v>6.4119999999999999</v>
      </c>
      <c r="J173" s="3"/>
      <c r="K173" s="3"/>
    </row>
    <row r="174" spans="7:11" x14ac:dyDescent="0.3">
      <c r="G174" s="4" t="s">
        <v>168</v>
      </c>
      <c r="H174" s="3">
        <v>7</v>
      </c>
      <c r="I174" s="3">
        <v>6.9459999999999997</v>
      </c>
      <c r="J174" s="3"/>
      <c r="K174" s="3"/>
    </row>
    <row r="175" spans="7:11" x14ac:dyDescent="0.3">
      <c r="G175" s="4" t="s">
        <v>169</v>
      </c>
      <c r="H175" s="3">
        <v>7.1459999999999999</v>
      </c>
      <c r="I175" s="3">
        <v>7.1710000000000003</v>
      </c>
      <c r="J175" s="3"/>
      <c r="K175" s="3"/>
    </row>
    <row r="176" spans="7:11" x14ac:dyDescent="0.3">
      <c r="G176" s="4" t="s">
        <v>170</v>
      </c>
      <c r="H176" s="3">
        <v>7.7710000000000008</v>
      </c>
      <c r="I176" s="3">
        <v>7.8869999999999987</v>
      </c>
      <c r="J176" s="3"/>
      <c r="K176" s="3"/>
    </row>
    <row r="177" spans="7:11" x14ac:dyDescent="0.3">
      <c r="G177" s="4" t="s">
        <v>127</v>
      </c>
      <c r="H177" s="3">
        <v>7.1079999999999997</v>
      </c>
      <c r="I177" s="3">
        <v>7.1909999999999998</v>
      </c>
      <c r="J177" s="3">
        <v>7.2729999999999997</v>
      </c>
      <c r="K177" s="3">
        <v>7.338000000000001</v>
      </c>
    </row>
    <row r="178" spans="7:11" x14ac:dyDescent="0.3">
      <c r="G178" s="4" t="s">
        <v>128</v>
      </c>
      <c r="H178" s="3">
        <v>6.9250000000000007</v>
      </c>
      <c r="I178" s="3">
        <v>6.9490000000000007</v>
      </c>
      <c r="J178" s="3">
        <v>7.0600000000000005</v>
      </c>
      <c r="K178" s="3">
        <v>7.0500000000000016</v>
      </c>
    </row>
    <row r="179" spans="7:11" x14ac:dyDescent="0.3">
      <c r="G179" s="4" t="s">
        <v>171</v>
      </c>
      <c r="H179" s="3"/>
      <c r="I179" s="3">
        <v>7.7880000000000003</v>
      </c>
      <c r="J179" s="3">
        <v>7.777000000000001</v>
      </c>
      <c r="K179" s="3">
        <v>7.802999999999999</v>
      </c>
    </row>
    <row r="180" spans="7:11" x14ac:dyDescent="0.3">
      <c r="G180" s="4" t="s">
        <v>140</v>
      </c>
      <c r="H180" s="3">
        <v>7.6810000000000009</v>
      </c>
      <c r="I180" s="3"/>
      <c r="J180" s="3"/>
      <c r="K180" s="3"/>
    </row>
    <row r="181" spans="7:11" x14ac:dyDescent="0.3">
      <c r="G181" s="4" t="s">
        <v>129</v>
      </c>
      <c r="H181" s="3">
        <v>7.0790000000000006</v>
      </c>
      <c r="I181" s="3"/>
      <c r="J181" s="3"/>
      <c r="K181" s="3"/>
    </row>
    <row r="182" spans="7:11" x14ac:dyDescent="0.3">
      <c r="G182" s="4" t="s">
        <v>172</v>
      </c>
      <c r="H182" s="3"/>
      <c r="I182" s="3">
        <v>8.5820000000000007</v>
      </c>
      <c r="J182" s="3">
        <v>8.5850000000000009</v>
      </c>
      <c r="K182" s="3">
        <v>8.5670000000000002</v>
      </c>
    </row>
    <row r="183" spans="7:11" x14ac:dyDescent="0.3">
      <c r="G183" s="4" t="s">
        <v>173</v>
      </c>
      <c r="H183" s="3"/>
      <c r="I183" s="3">
        <v>8.4130000000000003</v>
      </c>
      <c r="J183" s="3">
        <v>8.4</v>
      </c>
      <c r="K183" s="3">
        <v>8.3490000000000002</v>
      </c>
    </row>
    <row r="184" spans="7:11" x14ac:dyDescent="0.3">
      <c r="G184" s="4" t="s">
        <v>174</v>
      </c>
      <c r="H184" s="3"/>
      <c r="I184" s="3">
        <v>8.2579999999999991</v>
      </c>
      <c r="J184" s="3">
        <v>8.2409999999999997</v>
      </c>
      <c r="K184" s="3">
        <v>8.1610000000000014</v>
      </c>
    </row>
    <row r="185" spans="7:11" x14ac:dyDescent="0.3">
      <c r="G185" s="4" t="s">
        <v>141</v>
      </c>
      <c r="H185" s="3">
        <v>8.0180000000000007</v>
      </c>
      <c r="I185" s="3"/>
      <c r="J185" s="3"/>
      <c r="K185" s="3"/>
    </row>
    <row r="186" spans="7:11" x14ac:dyDescent="0.3">
      <c r="G186" s="4" t="s">
        <v>175</v>
      </c>
      <c r="H186" s="3"/>
      <c r="I186" s="3">
        <v>7.0709999999999997</v>
      </c>
      <c r="J186" s="3">
        <v>7.2049999999999992</v>
      </c>
      <c r="K186" s="3">
        <v>7.165</v>
      </c>
    </row>
    <row r="187" spans="7:11" x14ac:dyDescent="0.3">
      <c r="G187" s="4" t="s">
        <v>182</v>
      </c>
      <c r="H187" s="3"/>
      <c r="I187" s="3"/>
      <c r="J187" s="3">
        <v>7.5120000000000005</v>
      </c>
      <c r="K187" s="3">
        <v>7.5039999999999996</v>
      </c>
    </row>
    <row r="188" spans="7:11" x14ac:dyDescent="0.3">
      <c r="G188" s="4" t="s">
        <v>176</v>
      </c>
      <c r="H188" s="3"/>
      <c r="I188" s="3">
        <v>8.18</v>
      </c>
      <c r="J188" s="3"/>
      <c r="K188" s="3"/>
    </row>
    <row r="189" spans="7:11" x14ac:dyDescent="0.3">
      <c r="G189" s="4" t="s">
        <v>142</v>
      </c>
      <c r="H189" s="3">
        <v>6.7140000000000004</v>
      </c>
      <c r="I189" s="3"/>
      <c r="J189" s="3"/>
      <c r="K189" s="3"/>
    </row>
    <row r="190" spans="7:11" x14ac:dyDescent="0.3">
      <c r="G190" s="4" t="s">
        <v>143</v>
      </c>
      <c r="H190" s="3">
        <v>6.4990000000000006</v>
      </c>
      <c r="I190" s="3"/>
      <c r="J190" s="3"/>
      <c r="K190" s="3"/>
    </row>
    <row r="191" spans="7:11" x14ac:dyDescent="0.3">
      <c r="G191" s="4" t="s">
        <v>144</v>
      </c>
      <c r="H191" s="3">
        <v>6.758</v>
      </c>
      <c r="I191" s="3"/>
      <c r="J191" s="3"/>
      <c r="K191" s="3"/>
    </row>
    <row r="192" spans="7:11" x14ac:dyDescent="0.3">
      <c r="G192" s="4" t="s">
        <v>145</v>
      </c>
      <c r="H192" s="3">
        <v>6.4689999999999994</v>
      </c>
      <c r="I192" s="3"/>
      <c r="J192" s="3"/>
      <c r="K192" s="3"/>
    </row>
    <row r="193" spans="7:11" x14ac:dyDescent="0.3">
      <c r="G193" s="4" t="s">
        <v>146</v>
      </c>
      <c r="H193" s="3">
        <v>6.6950000000000003</v>
      </c>
      <c r="I193" s="3"/>
      <c r="J193" s="3"/>
      <c r="K193" s="3"/>
    </row>
    <row r="194" spans="7:11" x14ac:dyDescent="0.3">
      <c r="G194" s="4" t="s">
        <v>147</v>
      </c>
      <c r="H194" s="3">
        <v>7.2149999999999999</v>
      </c>
      <c r="I194" s="3"/>
      <c r="J194" s="3"/>
      <c r="K194" s="3"/>
    </row>
    <row r="195" spans="7:11" x14ac:dyDescent="0.3">
      <c r="G195" s="4" t="s">
        <v>130</v>
      </c>
      <c r="H195" s="3">
        <v>7.2360000000000007</v>
      </c>
      <c r="I195" s="3">
        <v>7.5140000000000002</v>
      </c>
      <c r="J195" s="3"/>
      <c r="K195" s="3"/>
    </row>
    <row r="196" spans="7:11" x14ac:dyDescent="0.3">
      <c r="G196" s="4" t="s">
        <v>183</v>
      </c>
      <c r="H196" s="3"/>
      <c r="I196" s="3"/>
      <c r="J196" s="3">
        <v>7.1459999999999999</v>
      </c>
      <c r="K196" s="3">
        <v>7.282</v>
      </c>
    </row>
    <row r="197" spans="7:11" x14ac:dyDescent="0.3">
      <c r="G197" s="4" t="s">
        <v>184</v>
      </c>
      <c r="H197" s="3"/>
      <c r="I197" s="3"/>
      <c r="J197" s="3">
        <v>6.8170000000000002</v>
      </c>
      <c r="K197" s="3">
        <v>7.0249999999999995</v>
      </c>
    </row>
    <row r="198" spans="7:11" x14ac:dyDescent="0.3">
      <c r="G198" s="4" t="s">
        <v>185</v>
      </c>
      <c r="H198" s="3"/>
      <c r="I198" s="3"/>
      <c r="J198" s="3">
        <v>6.6829999999999998</v>
      </c>
      <c r="K198" s="3">
        <v>6.956999999999999</v>
      </c>
    </row>
    <row r="199" spans="7:11" x14ac:dyDescent="0.3">
      <c r="G199" s="2" t="s">
        <v>226</v>
      </c>
      <c r="H199" s="3"/>
      <c r="I199" s="3"/>
      <c r="J199" s="3"/>
      <c r="K199" s="3"/>
    </row>
    <row r="200" spans="7:11" x14ac:dyDescent="0.3">
      <c r="G200" s="4" t="s">
        <v>118</v>
      </c>
      <c r="H200" s="3">
        <v>8.0120000000000005</v>
      </c>
      <c r="I200" s="3">
        <v>7.552999999999999</v>
      </c>
      <c r="J200" s="3">
        <v>7.6039999999999992</v>
      </c>
      <c r="K200" s="3">
        <v>7.7320000000000002</v>
      </c>
    </row>
    <row r="201" spans="7:11" x14ac:dyDescent="0.3">
      <c r="G201" s="4" t="s">
        <v>186</v>
      </c>
      <c r="H201" s="3"/>
      <c r="I201" s="3"/>
      <c r="J201" s="3">
        <v>7.9749999999999996</v>
      </c>
      <c r="K201" s="3">
        <v>7.8120000000000003</v>
      </c>
    </row>
    <row r="202" spans="7:11" x14ac:dyDescent="0.3">
      <c r="G202" s="4" t="s">
        <v>119</v>
      </c>
      <c r="H202" s="3">
        <v>7.6449999999999996</v>
      </c>
      <c r="I202" s="3">
        <v>7.7110000000000003</v>
      </c>
      <c r="J202" s="3"/>
      <c r="K202" s="3"/>
    </row>
    <row r="203" spans="7:11" x14ac:dyDescent="0.3">
      <c r="G203" s="4" t="s">
        <v>120</v>
      </c>
      <c r="H203" s="3">
        <v>7.6560000000000006</v>
      </c>
      <c r="I203" s="3">
        <v>7.6959999999999997</v>
      </c>
      <c r="J203" s="3"/>
      <c r="K203" s="3"/>
    </row>
    <row r="204" spans="7:11" x14ac:dyDescent="0.3">
      <c r="G204" s="4" t="s">
        <v>121</v>
      </c>
      <c r="H204" s="3">
        <v>7.4459999999999997</v>
      </c>
      <c r="I204" s="3">
        <v>7.4690000000000003</v>
      </c>
      <c r="J204" s="3"/>
      <c r="K204" s="3"/>
    </row>
    <row r="205" spans="7:11" x14ac:dyDescent="0.3">
      <c r="G205" s="4" t="s">
        <v>187</v>
      </c>
      <c r="H205" s="3"/>
      <c r="I205" s="3"/>
      <c r="J205" s="3">
        <v>5.9569999999999999</v>
      </c>
      <c r="K205" s="3">
        <v>5.9850000000000003</v>
      </c>
    </row>
    <row r="206" spans="7:11" x14ac:dyDescent="0.3">
      <c r="G206" s="4" t="s">
        <v>122</v>
      </c>
      <c r="H206" s="3">
        <v>7.8439999999999994</v>
      </c>
      <c r="I206" s="3">
        <v>7.802999999999999</v>
      </c>
      <c r="J206" s="3"/>
      <c r="K206" s="3"/>
    </row>
    <row r="207" spans="7:11" x14ac:dyDescent="0.3">
      <c r="G207" s="4" t="s">
        <v>123</v>
      </c>
      <c r="H207" s="3">
        <v>5.7840000000000007</v>
      </c>
      <c r="I207" s="3">
        <v>5.6980000000000004</v>
      </c>
      <c r="J207" s="3"/>
      <c r="K207" s="3"/>
    </row>
    <row r="208" spans="7:11" x14ac:dyDescent="0.3">
      <c r="G208" s="4" t="s">
        <v>188</v>
      </c>
      <c r="H208" s="3"/>
      <c r="I208" s="3"/>
      <c r="J208" s="3">
        <v>5.9889999999999999</v>
      </c>
      <c r="K208" s="3">
        <v>5.8250000000000011</v>
      </c>
    </row>
    <row r="209" spans="7:11" x14ac:dyDescent="0.3">
      <c r="G209" s="4" t="s">
        <v>189</v>
      </c>
      <c r="H209" s="3"/>
      <c r="I209" s="3"/>
      <c r="J209" s="3">
        <v>7.6420000000000003</v>
      </c>
      <c r="K209" s="3">
        <v>7.58</v>
      </c>
    </row>
    <row r="210" spans="7:11" x14ac:dyDescent="0.3">
      <c r="G210" s="4" t="s">
        <v>148</v>
      </c>
      <c r="H210" s="3">
        <v>5.8479999999999999</v>
      </c>
      <c r="I210" s="3"/>
      <c r="J210" s="3"/>
      <c r="K210" s="3"/>
    </row>
    <row r="211" spans="7:11" x14ac:dyDescent="0.3">
      <c r="G211" s="4" t="s">
        <v>177</v>
      </c>
      <c r="H211" s="3"/>
      <c r="I211" s="3">
        <v>5.6769999999999996</v>
      </c>
      <c r="J211" s="3"/>
      <c r="K211" s="3"/>
    </row>
    <row r="212" spans="7:11" x14ac:dyDescent="0.3">
      <c r="G212" s="4" t="s">
        <v>131</v>
      </c>
      <c r="H212" s="3">
        <v>7.6139999999999999</v>
      </c>
      <c r="I212" s="3">
        <v>7.5449999999999999</v>
      </c>
      <c r="J212" s="3"/>
      <c r="K212" s="3"/>
    </row>
    <row r="213" spans="7:11" x14ac:dyDescent="0.3">
      <c r="G213" s="4" t="s">
        <v>190</v>
      </c>
      <c r="H213" s="3"/>
      <c r="I213" s="3"/>
      <c r="J213" s="3">
        <v>7.2029999999999994</v>
      </c>
      <c r="K213" s="3">
        <v>7.3080000000000007</v>
      </c>
    </row>
    <row r="214" spans="7:11" x14ac:dyDescent="0.3">
      <c r="G214" s="4" t="s">
        <v>191</v>
      </c>
      <c r="H214" s="3"/>
      <c r="I214" s="3"/>
      <c r="J214" s="3">
        <v>7.6630000000000003</v>
      </c>
      <c r="K214" s="3">
        <v>7.7440000000000007</v>
      </c>
    </row>
    <row r="215" spans="7:11" x14ac:dyDescent="0.3">
      <c r="G215" s="4" t="s">
        <v>149</v>
      </c>
      <c r="H215" s="3">
        <v>6.7190000000000003</v>
      </c>
      <c r="I215" s="3"/>
      <c r="J215" s="3"/>
      <c r="K215" s="3"/>
    </row>
    <row r="216" spans="7:11" x14ac:dyDescent="0.3">
      <c r="G216" s="4" t="s">
        <v>192</v>
      </c>
      <c r="H216" s="3"/>
      <c r="I216" s="3"/>
      <c r="J216" s="3">
        <v>7.391</v>
      </c>
      <c r="K216" s="3">
        <v>7.5090000000000003</v>
      </c>
    </row>
    <row r="217" spans="7:11" x14ac:dyDescent="0.3">
      <c r="G217" s="4" t="s">
        <v>178</v>
      </c>
      <c r="H217" s="3"/>
      <c r="I217" s="3">
        <v>6.95</v>
      </c>
      <c r="J217" s="3"/>
      <c r="K217" s="3"/>
    </row>
    <row r="218" spans="7:11" x14ac:dyDescent="0.3">
      <c r="G218" s="4" t="s">
        <v>150</v>
      </c>
      <c r="H218" s="3">
        <v>6.7159999999999993</v>
      </c>
      <c r="I218" s="3"/>
      <c r="J218" s="3"/>
      <c r="K218" s="3"/>
    </row>
    <row r="219" spans="7:11" x14ac:dyDescent="0.3">
      <c r="G219" s="4" t="s">
        <v>193</v>
      </c>
      <c r="H219" s="3"/>
      <c r="I219" s="3"/>
      <c r="J219" s="3">
        <v>7.551000000000001</v>
      </c>
      <c r="K219" s="3">
        <v>7.6420000000000012</v>
      </c>
    </row>
    <row r="220" spans="7:11" x14ac:dyDescent="0.3">
      <c r="G220" s="4" t="s">
        <v>179</v>
      </c>
      <c r="H220" s="3"/>
      <c r="I220" s="3">
        <v>7.504999999999999</v>
      </c>
      <c r="J220" s="3"/>
      <c r="K220" s="3"/>
    </row>
    <row r="221" spans="7:11" x14ac:dyDescent="0.3">
      <c r="G221" s="4" t="s">
        <v>151</v>
      </c>
      <c r="H221" s="3">
        <v>7.0919999999999996</v>
      </c>
      <c r="I221" s="3"/>
      <c r="J221" s="3"/>
      <c r="K221" s="3"/>
    </row>
    <row r="222" spans="7:11" x14ac:dyDescent="0.3">
      <c r="G222" s="4" t="s">
        <v>180</v>
      </c>
      <c r="H222" s="3"/>
      <c r="I222" s="3">
        <v>7.2539999999999996</v>
      </c>
      <c r="J222" s="3"/>
      <c r="K222" s="3"/>
    </row>
    <row r="223" spans="7:11" x14ac:dyDescent="0.3">
      <c r="G223" s="4" t="s">
        <v>194</v>
      </c>
      <c r="H223" s="3"/>
      <c r="I223" s="3"/>
      <c r="J223" s="3">
        <v>8.0749999999999993</v>
      </c>
      <c r="K223" s="3">
        <v>8.1670000000000016</v>
      </c>
    </row>
    <row r="224" spans="7:11" x14ac:dyDescent="0.3">
      <c r="G224" s="4" t="s">
        <v>152</v>
      </c>
      <c r="H224" s="3">
        <v>6.13</v>
      </c>
      <c r="I224" s="3"/>
      <c r="J224" s="3"/>
      <c r="K224" s="3"/>
    </row>
    <row r="225" spans="7:11" x14ac:dyDescent="0.3">
      <c r="G225" s="4" t="s">
        <v>181</v>
      </c>
      <c r="H225" s="3"/>
      <c r="I225" s="3">
        <v>7.2799999999999994</v>
      </c>
      <c r="J225" s="3"/>
      <c r="K225" s="3"/>
    </row>
    <row r="226" spans="7:11" x14ac:dyDescent="0.3">
      <c r="G226" s="4" t="s">
        <v>195</v>
      </c>
      <c r="H226" s="3"/>
      <c r="I226" s="3"/>
      <c r="J226" s="3">
        <v>7.9990000000000006</v>
      </c>
      <c r="K226" s="3">
        <v>8.0850000000000009</v>
      </c>
    </row>
    <row r="227" spans="7:11" x14ac:dyDescent="0.3">
      <c r="G227" s="4" t="s">
        <v>153</v>
      </c>
      <c r="H227" s="3">
        <v>7.2080000000000002</v>
      </c>
      <c r="I227" s="3"/>
      <c r="J227" s="3"/>
      <c r="K227" s="3"/>
    </row>
    <row r="228" spans="7:11" x14ac:dyDescent="0.3">
      <c r="G228" s="4" t="s">
        <v>196</v>
      </c>
      <c r="H228" s="3"/>
      <c r="I228" s="3"/>
      <c r="J228" s="3">
        <v>7.9260000000000002</v>
      </c>
      <c r="K228" s="3">
        <v>7.9999999999999991</v>
      </c>
    </row>
    <row r="229" spans="7:11" x14ac:dyDescent="0.3">
      <c r="G229" s="4" t="s">
        <v>154</v>
      </c>
      <c r="H229" s="3">
        <v>7.173</v>
      </c>
      <c r="I229" s="3"/>
      <c r="J229" s="3"/>
      <c r="K229" s="3"/>
    </row>
    <row r="230" spans="7:11" x14ac:dyDescent="0.3">
      <c r="G230" s="4" t="s">
        <v>197</v>
      </c>
      <c r="H230" s="3"/>
      <c r="I230" s="3"/>
      <c r="J230" s="3">
        <v>7.8849999999999998</v>
      </c>
      <c r="K230" s="3">
        <v>7.9589999999999996</v>
      </c>
    </row>
    <row r="231" spans="7:11" x14ac:dyDescent="0.3">
      <c r="G231" s="4" t="s">
        <v>198</v>
      </c>
      <c r="H231" s="3"/>
      <c r="I231" s="3"/>
      <c r="J231" s="3">
        <v>8.0559999999999992</v>
      </c>
      <c r="K231" s="3">
        <v>8.1379999999999981</v>
      </c>
    </row>
    <row r="232" spans="7:11" x14ac:dyDescent="0.3">
      <c r="G232" s="4" t="s">
        <v>155</v>
      </c>
      <c r="H232" s="3">
        <v>7.8310000000000004</v>
      </c>
      <c r="I232" s="3">
        <v>7.9349999999999996</v>
      </c>
      <c r="J232" s="3"/>
      <c r="K232" s="3"/>
    </row>
    <row r="233" spans="7:11" x14ac:dyDescent="0.3">
      <c r="G233" s="4" t="s">
        <v>199</v>
      </c>
      <c r="H233" s="3"/>
      <c r="I233" s="3"/>
      <c r="J233" s="3">
        <v>8.354000000000001</v>
      </c>
      <c r="K233" s="3">
        <v>8.4260000000000002</v>
      </c>
    </row>
    <row r="234" spans="7:11" x14ac:dyDescent="0.3">
      <c r="G234" s="4" t="s">
        <v>156</v>
      </c>
      <c r="H234" s="3">
        <v>7.6960000000000006</v>
      </c>
      <c r="I234" s="3">
        <v>7.8549999999999995</v>
      </c>
      <c r="J234" s="3"/>
      <c r="K234" s="3"/>
    </row>
    <row r="235" spans="7:11" x14ac:dyDescent="0.3">
      <c r="G235" s="4" t="s">
        <v>200</v>
      </c>
      <c r="H235" s="3"/>
      <c r="I235" s="3"/>
      <c r="J235" s="3">
        <v>7.9390000000000001</v>
      </c>
      <c r="K235" s="3">
        <v>7.9969999999999999</v>
      </c>
    </row>
    <row r="236" spans="7:11" x14ac:dyDescent="0.3">
      <c r="G236" s="4" t="s">
        <v>157</v>
      </c>
      <c r="H236" s="3">
        <v>7.6290000000000004</v>
      </c>
      <c r="I236" s="3">
        <v>7.770999999999999</v>
      </c>
      <c r="J236" s="3"/>
      <c r="K236" s="3"/>
    </row>
    <row r="237" spans="7:11" x14ac:dyDescent="0.3">
      <c r="G237" s="4" t="s">
        <v>201</v>
      </c>
      <c r="H237" s="3"/>
      <c r="I237" s="3"/>
      <c r="J237" s="3">
        <v>7.6750000000000007</v>
      </c>
      <c r="K237" s="3">
        <v>7.7040000000000006</v>
      </c>
    </row>
    <row r="238" spans="7:11" x14ac:dyDescent="0.3">
      <c r="G238" s="4" t="s">
        <v>158</v>
      </c>
      <c r="H238" s="3">
        <v>7.5939999999999994</v>
      </c>
      <c r="I238" s="3">
        <v>7.7160000000000002</v>
      </c>
      <c r="J238" s="3"/>
      <c r="K238" s="3"/>
    </row>
    <row r="239" spans="7:11" x14ac:dyDescent="0.3">
      <c r="G239" s="4" t="s">
        <v>202</v>
      </c>
      <c r="H239" s="3"/>
      <c r="I239" s="3"/>
      <c r="J239" s="3">
        <v>7.7549999999999999</v>
      </c>
      <c r="K239" s="3">
        <v>7.8579999999999988</v>
      </c>
    </row>
    <row r="240" spans="7:11" x14ac:dyDescent="0.3">
      <c r="G240" s="4" t="s">
        <v>159</v>
      </c>
      <c r="H240" s="3">
        <v>7.9949999999999992</v>
      </c>
      <c r="I240" s="3">
        <v>8.06</v>
      </c>
      <c r="J240" s="3"/>
      <c r="K240" s="3"/>
    </row>
    <row r="241" spans="7:11" x14ac:dyDescent="0.3">
      <c r="G241" s="4" t="s">
        <v>160</v>
      </c>
      <c r="H241" s="3">
        <v>8.375</v>
      </c>
      <c r="I241" s="3">
        <v>8.3539999999999992</v>
      </c>
      <c r="J241" s="3"/>
      <c r="K241" s="3"/>
    </row>
    <row r="242" spans="7:11" x14ac:dyDescent="0.3">
      <c r="G242" s="4" t="s">
        <v>203</v>
      </c>
      <c r="H242" s="3"/>
      <c r="I242" s="3"/>
      <c r="J242" s="3">
        <v>7.6719999999999997</v>
      </c>
      <c r="K242" s="3">
        <v>7.746999999999999</v>
      </c>
    </row>
    <row r="243" spans="7:11" x14ac:dyDescent="0.3">
      <c r="G243" s="4" t="s">
        <v>161</v>
      </c>
      <c r="H243" s="3">
        <v>7.902000000000001</v>
      </c>
      <c r="I243" s="3">
        <v>7.9290000000000003</v>
      </c>
      <c r="J243" s="3"/>
      <c r="K243" s="3"/>
    </row>
    <row r="244" spans="7:11" x14ac:dyDescent="0.3">
      <c r="G244" s="4" t="s">
        <v>204</v>
      </c>
      <c r="H244" s="3"/>
      <c r="I244" s="3"/>
      <c r="J244" s="3">
        <v>7.5989999999999993</v>
      </c>
      <c r="K244" s="3">
        <v>7.7279999999999998</v>
      </c>
    </row>
    <row r="245" spans="7:11" x14ac:dyDescent="0.3">
      <c r="G245" s="4" t="s">
        <v>162</v>
      </c>
      <c r="H245" s="3">
        <v>7.4749999999999996</v>
      </c>
      <c r="I245" s="3">
        <v>7.5609999999999999</v>
      </c>
      <c r="J245" s="3"/>
      <c r="K245" s="3"/>
    </row>
    <row r="246" spans="7:11" x14ac:dyDescent="0.3">
      <c r="G246" s="4" t="s">
        <v>205</v>
      </c>
      <c r="H246" s="3"/>
      <c r="I246" s="3"/>
      <c r="J246" s="3">
        <v>7.8270000000000008</v>
      </c>
      <c r="K246" s="3">
        <v>7.9139999999999997</v>
      </c>
    </row>
    <row r="247" spans="7:11" x14ac:dyDescent="0.3">
      <c r="G247" s="4" t="s">
        <v>206</v>
      </c>
      <c r="H247" s="3"/>
      <c r="I247" s="3"/>
      <c r="J247" s="3">
        <v>7.9260000000000002</v>
      </c>
      <c r="K247" s="3">
        <v>8.0679999999999996</v>
      </c>
    </row>
    <row r="248" spans="7:11" x14ac:dyDescent="0.3">
      <c r="G248" s="4" t="s">
        <v>207</v>
      </c>
      <c r="H248" s="3"/>
      <c r="I248" s="3"/>
      <c r="J248" s="3">
        <v>7.6940000000000008</v>
      </c>
      <c r="K248" s="3">
        <v>7.85</v>
      </c>
    </row>
    <row r="249" spans="7:11" x14ac:dyDescent="0.3">
      <c r="G249" s="4" t="s">
        <v>208</v>
      </c>
      <c r="H249" s="3"/>
      <c r="I249" s="3"/>
      <c r="J249" s="3">
        <v>8.0869999999999997</v>
      </c>
      <c r="K249" s="3">
        <v>8.1589999999999989</v>
      </c>
    </row>
    <row r="250" spans="7:11" x14ac:dyDescent="0.3">
      <c r="G250" s="4" t="s">
        <v>163</v>
      </c>
      <c r="H250" s="3">
        <v>7.4809999999999999</v>
      </c>
      <c r="I250" s="3">
        <v>7.5949999999999998</v>
      </c>
      <c r="J250" s="3"/>
      <c r="K250" s="3"/>
    </row>
    <row r="251" spans="7:11" x14ac:dyDescent="0.3">
      <c r="G251" s="4" t="s">
        <v>164</v>
      </c>
      <c r="H251" s="3">
        <v>7.42</v>
      </c>
      <c r="I251" s="3">
        <v>7.516</v>
      </c>
      <c r="J251" s="3"/>
      <c r="K251" s="3"/>
    </row>
    <row r="252" spans="7:11" x14ac:dyDescent="0.3">
      <c r="G252" s="4" t="s">
        <v>124</v>
      </c>
      <c r="H252" s="3">
        <v>7.3729999999999993</v>
      </c>
      <c r="I252" s="3">
        <v>7.4179999999999993</v>
      </c>
      <c r="J252" s="3"/>
      <c r="K252" s="3"/>
    </row>
    <row r="253" spans="7:11" x14ac:dyDescent="0.3">
      <c r="G253" s="4" t="s">
        <v>125</v>
      </c>
      <c r="H253" s="3">
        <v>7.62</v>
      </c>
      <c r="I253" s="3">
        <v>7.6920000000000002</v>
      </c>
      <c r="J253" s="3"/>
      <c r="K253" s="3"/>
    </row>
    <row r="254" spans="7:11" x14ac:dyDescent="0.3">
      <c r="G254" s="4" t="s">
        <v>165</v>
      </c>
      <c r="H254" s="3">
        <v>7.7439999999999998</v>
      </c>
      <c r="I254" s="3">
        <v>7.8260000000000005</v>
      </c>
      <c r="J254" s="3"/>
      <c r="K254" s="3"/>
    </row>
    <row r="255" spans="7:11" x14ac:dyDescent="0.3">
      <c r="G255" s="4" t="s">
        <v>166</v>
      </c>
      <c r="H255" s="3">
        <v>7.492</v>
      </c>
      <c r="I255" s="3">
        <v>7.6050000000000004</v>
      </c>
      <c r="J255" s="3"/>
      <c r="K255" s="3"/>
    </row>
    <row r="256" spans="7:11" x14ac:dyDescent="0.3">
      <c r="G256" s="4" t="s">
        <v>126</v>
      </c>
      <c r="H256" s="3">
        <v>7.7519999999999989</v>
      </c>
      <c r="I256" s="3">
        <v>7.6339999999999995</v>
      </c>
      <c r="J256" s="3">
        <v>7.7169999999999996</v>
      </c>
      <c r="K256" s="3">
        <v>7.7489999999999997</v>
      </c>
    </row>
    <row r="257" spans="7:11" x14ac:dyDescent="0.3">
      <c r="G257" s="4" t="s">
        <v>167</v>
      </c>
      <c r="H257" s="3">
        <v>6.673</v>
      </c>
      <c r="I257" s="3">
        <v>6.5879999999999992</v>
      </c>
      <c r="J257" s="3"/>
      <c r="K257" s="3"/>
    </row>
    <row r="258" spans="7:11" x14ac:dyDescent="0.3">
      <c r="G258" s="4" t="s">
        <v>168</v>
      </c>
      <c r="H258" s="3">
        <v>7.2339999999999991</v>
      </c>
      <c r="I258" s="3">
        <v>7.145999999999999</v>
      </c>
      <c r="J258" s="3"/>
      <c r="K258" s="3"/>
    </row>
    <row r="259" spans="7:11" x14ac:dyDescent="0.3">
      <c r="G259" s="4" t="s">
        <v>169</v>
      </c>
      <c r="H259" s="3">
        <v>7.34</v>
      </c>
      <c r="I259" s="3">
        <v>7.335</v>
      </c>
      <c r="J259" s="3"/>
      <c r="K259" s="3"/>
    </row>
    <row r="260" spans="7:11" x14ac:dyDescent="0.3">
      <c r="G260" s="4" t="s">
        <v>170</v>
      </c>
      <c r="H260" s="3">
        <v>7.9779999999999998</v>
      </c>
      <c r="I260" s="3">
        <v>8.1129999999999995</v>
      </c>
      <c r="J260" s="3"/>
      <c r="K260" s="3"/>
    </row>
    <row r="261" spans="7:11" x14ac:dyDescent="0.3">
      <c r="G261" s="4" t="s">
        <v>127</v>
      </c>
      <c r="H261" s="3">
        <v>7.355999999999999</v>
      </c>
      <c r="I261" s="3">
        <v>7.3500000000000005</v>
      </c>
      <c r="J261" s="3">
        <v>7.407</v>
      </c>
      <c r="K261" s="3">
        <v>7.5229999999999997</v>
      </c>
    </row>
    <row r="262" spans="7:11" x14ac:dyDescent="0.3">
      <c r="G262" s="4" t="s">
        <v>128</v>
      </c>
      <c r="H262" s="3">
        <v>7.2169999999999996</v>
      </c>
      <c r="I262" s="3">
        <v>7.0860000000000003</v>
      </c>
      <c r="J262" s="3">
        <v>7.1609999999999996</v>
      </c>
      <c r="K262" s="3">
        <v>7.2859999999999996</v>
      </c>
    </row>
    <row r="263" spans="7:11" x14ac:dyDescent="0.3">
      <c r="G263" s="4" t="s">
        <v>171</v>
      </c>
      <c r="H263" s="3"/>
      <c r="I263" s="3">
        <v>7.9049999999999994</v>
      </c>
      <c r="J263" s="3">
        <v>7.8659999999999997</v>
      </c>
      <c r="K263" s="3">
        <v>7.9810000000000008</v>
      </c>
    </row>
    <row r="264" spans="7:11" x14ac:dyDescent="0.3">
      <c r="G264" s="4" t="s">
        <v>140</v>
      </c>
      <c r="H264" s="3">
        <v>7.891</v>
      </c>
      <c r="I264" s="3"/>
      <c r="J264" s="3"/>
      <c r="K264" s="3"/>
    </row>
    <row r="265" spans="7:11" x14ac:dyDescent="0.3">
      <c r="G265" s="4" t="s">
        <v>129</v>
      </c>
      <c r="H265" s="3">
        <v>7.2970000000000006</v>
      </c>
      <c r="I265" s="3"/>
      <c r="J265" s="3"/>
      <c r="K265" s="3"/>
    </row>
    <row r="266" spans="7:11" x14ac:dyDescent="0.3">
      <c r="G266" s="4" t="s">
        <v>172</v>
      </c>
      <c r="H266" s="3"/>
      <c r="I266" s="3">
        <v>8.7740000000000009</v>
      </c>
      <c r="J266" s="3">
        <v>8.6620000000000008</v>
      </c>
      <c r="K266" s="3">
        <v>8.7270000000000003</v>
      </c>
    </row>
    <row r="267" spans="7:11" x14ac:dyDescent="0.3">
      <c r="G267" s="4" t="s">
        <v>173</v>
      </c>
      <c r="H267" s="3"/>
      <c r="I267" s="3">
        <v>8.5909999999999993</v>
      </c>
      <c r="J267" s="3">
        <v>8.5190000000000001</v>
      </c>
      <c r="K267" s="3">
        <v>8.5440000000000005</v>
      </c>
    </row>
    <row r="268" spans="7:11" x14ac:dyDescent="0.3">
      <c r="G268" s="4" t="s">
        <v>174</v>
      </c>
      <c r="H268" s="3"/>
      <c r="I268" s="3">
        <v>8.4029999999999987</v>
      </c>
      <c r="J268" s="3">
        <v>8.3130000000000006</v>
      </c>
      <c r="K268" s="3">
        <v>8.3600000000000012</v>
      </c>
    </row>
    <row r="269" spans="7:11" x14ac:dyDescent="0.3">
      <c r="G269" s="4" t="s">
        <v>141</v>
      </c>
      <c r="H269" s="3">
        <v>8.3040000000000003</v>
      </c>
      <c r="I269" s="3"/>
      <c r="J269" s="3"/>
      <c r="K269" s="3"/>
    </row>
    <row r="270" spans="7:11" x14ac:dyDescent="0.3">
      <c r="G270" s="4" t="s">
        <v>175</v>
      </c>
      <c r="H270" s="3"/>
      <c r="I270" s="3">
        <v>7.202</v>
      </c>
      <c r="J270" s="3">
        <v>7.3100000000000005</v>
      </c>
      <c r="K270" s="3">
        <v>7.3539999999999992</v>
      </c>
    </row>
    <row r="271" spans="7:11" x14ac:dyDescent="0.3">
      <c r="G271" s="4" t="s">
        <v>182</v>
      </c>
      <c r="H271" s="3"/>
      <c r="I271" s="3"/>
      <c r="J271" s="3">
        <v>7.7780000000000005</v>
      </c>
      <c r="K271" s="3">
        <v>7.68</v>
      </c>
    </row>
    <row r="272" spans="7:11" x14ac:dyDescent="0.3">
      <c r="G272" s="4" t="s">
        <v>176</v>
      </c>
      <c r="H272" s="3"/>
      <c r="I272" s="3">
        <v>8.3409999999999993</v>
      </c>
      <c r="J272" s="3"/>
      <c r="K272" s="3"/>
    </row>
    <row r="273" spans="7:11" x14ac:dyDescent="0.3">
      <c r="G273" s="4" t="s">
        <v>142</v>
      </c>
      <c r="H273" s="3">
        <v>7.1479999999999997</v>
      </c>
      <c r="I273" s="3"/>
      <c r="J273" s="3"/>
      <c r="K273" s="3"/>
    </row>
    <row r="274" spans="7:11" x14ac:dyDescent="0.3">
      <c r="G274" s="4" t="s">
        <v>143</v>
      </c>
      <c r="H274" s="3">
        <v>6.9160000000000004</v>
      </c>
      <c r="I274" s="3"/>
      <c r="J274" s="3"/>
      <c r="K274" s="3"/>
    </row>
    <row r="275" spans="7:11" x14ac:dyDescent="0.3">
      <c r="G275" s="4" t="s">
        <v>144</v>
      </c>
      <c r="H275" s="3">
        <v>7.1440000000000001</v>
      </c>
      <c r="I275" s="3"/>
      <c r="J275" s="3"/>
      <c r="K275" s="3"/>
    </row>
    <row r="276" spans="7:11" x14ac:dyDescent="0.3">
      <c r="G276" s="4" t="s">
        <v>145</v>
      </c>
      <c r="H276" s="3">
        <v>6.8369999999999997</v>
      </c>
      <c r="I276" s="3"/>
      <c r="J276" s="3"/>
      <c r="K276" s="3"/>
    </row>
    <row r="277" spans="7:11" x14ac:dyDescent="0.3">
      <c r="G277" s="4" t="s">
        <v>146</v>
      </c>
      <c r="H277" s="3">
        <v>7.0350000000000001</v>
      </c>
      <c r="I277" s="3"/>
      <c r="J277" s="3"/>
      <c r="K277" s="3"/>
    </row>
    <row r="278" spans="7:11" x14ac:dyDescent="0.3">
      <c r="G278" s="4" t="s">
        <v>147</v>
      </c>
      <c r="H278" s="3">
        <v>7.4919999999999991</v>
      </c>
      <c r="I278" s="3"/>
      <c r="J278" s="3"/>
      <c r="K278" s="3"/>
    </row>
    <row r="279" spans="7:11" x14ac:dyDescent="0.3">
      <c r="G279" s="4" t="s">
        <v>130</v>
      </c>
      <c r="H279" s="3">
        <v>7.6050000000000004</v>
      </c>
      <c r="I279" s="3">
        <v>7.7750000000000004</v>
      </c>
      <c r="J279" s="3"/>
      <c r="K279" s="3"/>
    </row>
    <row r="280" spans="7:11" x14ac:dyDescent="0.3">
      <c r="G280" s="4" t="s">
        <v>183</v>
      </c>
      <c r="H280" s="3"/>
      <c r="I280" s="3"/>
      <c r="J280" s="3">
        <v>7.6660000000000013</v>
      </c>
      <c r="K280" s="3">
        <v>7.5940000000000003</v>
      </c>
    </row>
    <row r="281" spans="7:11" x14ac:dyDescent="0.3">
      <c r="G281" s="4" t="s">
        <v>184</v>
      </c>
      <c r="H281" s="3"/>
      <c r="I281" s="3"/>
      <c r="J281" s="3">
        <v>7.5079999999999991</v>
      </c>
      <c r="K281" s="3">
        <v>7.4470000000000001</v>
      </c>
    </row>
    <row r="282" spans="7:11" x14ac:dyDescent="0.3">
      <c r="G282" s="4" t="s">
        <v>185</v>
      </c>
      <c r="H282" s="3"/>
      <c r="I282" s="3"/>
      <c r="J282" s="3">
        <v>7.3070000000000004</v>
      </c>
      <c r="K282" s="3">
        <v>7.269000000000001</v>
      </c>
    </row>
  </sheetData>
  <conditionalFormatting pivot="1" sqref="H31:K28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31:D1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{6E0060E3-951C-43DE-ADA1-AC76D9E45693}</x14:id>
        </ext>
      </extLst>
    </cfRule>
  </conditionalFormatting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E0060E3-951C-43DE-ADA1-AC76D9E456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B31:D113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5FB25-CA78-4CB2-BE97-62838A9BACB4}">
  <dimension ref="A1:G37"/>
  <sheetViews>
    <sheetView zoomScale="74" workbookViewId="0">
      <selection activeCell="N31" sqref="N31"/>
    </sheetView>
  </sheetViews>
  <sheetFormatPr defaultRowHeight="14.4" x14ac:dyDescent="0.3"/>
  <cols>
    <col min="1" max="1" width="24.109375" bestFit="1" customWidth="1"/>
    <col min="2" max="2" width="20.109375" bestFit="1" customWidth="1"/>
    <col min="3" max="3" width="9.21875" bestFit="1" customWidth="1"/>
    <col min="4" max="4" width="8.44140625" bestFit="1" customWidth="1"/>
    <col min="5" max="5" width="26" bestFit="1" customWidth="1"/>
    <col min="6" max="6" width="20.109375" bestFit="1" customWidth="1"/>
    <col min="7" max="7" width="7.21875" bestFit="1" customWidth="1"/>
    <col min="8" max="8" width="22" bestFit="1" customWidth="1"/>
    <col min="9" max="9" width="10.33203125" bestFit="1" customWidth="1"/>
    <col min="10" max="10" width="11.5546875" bestFit="1" customWidth="1"/>
    <col min="11" max="11" width="16.33203125" bestFit="1" customWidth="1"/>
    <col min="12" max="12" width="15" bestFit="1" customWidth="1"/>
    <col min="13" max="13" width="21" bestFit="1" customWidth="1"/>
    <col min="14" max="14" width="5" bestFit="1" customWidth="1"/>
    <col min="15" max="15" width="7.44140625" bestFit="1" customWidth="1"/>
    <col min="16" max="16" width="12.88671875" bestFit="1" customWidth="1"/>
    <col min="17" max="17" width="12" bestFit="1" customWidth="1"/>
    <col min="18" max="18" width="11.33203125" bestFit="1" customWidth="1"/>
    <col min="19" max="19" width="23.88671875" bestFit="1" customWidth="1"/>
    <col min="20" max="20" width="12.33203125" bestFit="1" customWidth="1"/>
    <col min="21" max="21" width="6.44140625" bestFit="1" customWidth="1"/>
    <col min="22" max="22" width="9.21875" bestFit="1" customWidth="1"/>
    <col min="23" max="23" width="12" bestFit="1" customWidth="1"/>
    <col min="24" max="24" width="9.21875" bestFit="1" customWidth="1"/>
    <col min="25" max="25" width="7.5546875" bestFit="1" customWidth="1"/>
    <col min="26" max="26" width="13.33203125" bestFit="1" customWidth="1"/>
    <col min="27" max="27" width="6.77734375" bestFit="1" customWidth="1"/>
    <col min="28" max="28" width="7.109375" bestFit="1" customWidth="1"/>
    <col min="29" max="29" width="7.5546875" bestFit="1" customWidth="1"/>
    <col min="30" max="30" width="11.5546875" bestFit="1" customWidth="1"/>
    <col min="31" max="31" width="8.77734375" bestFit="1" customWidth="1"/>
    <col min="32" max="32" width="7.5546875" bestFit="1" customWidth="1"/>
    <col min="33" max="33" width="11.5546875" bestFit="1" customWidth="1"/>
    <col min="34" max="35" width="8.44140625" bestFit="1" customWidth="1"/>
    <col min="36" max="36" width="9.21875" bestFit="1" customWidth="1"/>
    <col min="37" max="37" width="7.21875" bestFit="1" customWidth="1"/>
    <col min="38" max="38" width="22" bestFit="1" customWidth="1"/>
    <col min="39" max="39" width="10.33203125" bestFit="1" customWidth="1"/>
    <col min="40" max="40" width="11.5546875" bestFit="1" customWidth="1"/>
    <col min="41" max="41" width="16.33203125" bestFit="1" customWidth="1"/>
    <col min="42" max="42" width="15" bestFit="1" customWidth="1"/>
    <col min="43" max="43" width="21" bestFit="1" customWidth="1"/>
    <col min="44" max="44" width="5" bestFit="1" customWidth="1"/>
    <col min="45" max="45" width="7.44140625" bestFit="1" customWidth="1"/>
    <col min="46" max="46" width="12.88671875" bestFit="1" customWidth="1"/>
    <col min="47" max="47" width="12" bestFit="1" customWidth="1"/>
    <col min="48" max="48" width="11.33203125" bestFit="1" customWidth="1"/>
    <col min="49" max="49" width="23.88671875" bestFit="1" customWidth="1"/>
    <col min="50" max="50" width="12.33203125" bestFit="1" customWidth="1"/>
    <col min="51" max="51" width="6.44140625" bestFit="1" customWidth="1"/>
    <col min="52" max="52" width="9.21875" bestFit="1" customWidth="1"/>
    <col min="53" max="53" width="12" bestFit="1" customWidth="1"/>
    <col min="54" max="54" width="9.21875" bestFit="1" customWidth="1"/>
    <col min="55" max="55" width="7.5546875" bestFit="1" customWidth="1"/>
    <col min="56" max="56" width="13.33203125" bestFit="1" customWidth="1"/>
    <col min="57" max="57" width="6.77734375" bestFit="1" customWidth="1"/>
    <col min="58" max="58" width="7.109375" bestFit="1" customWidth="1"/>
    <col min="59" max="59" width="7.5546875" bestFit="1" customWidth="1"/>
    <col min="60" max="60" width="11.5546875" bestFit="1" customWidth="1"/>
    <col min="61" max="61" width="8.77734375" bestFit="1" customWidth="1"/>
  </cols>
  <sheetData>
    <row r="1" spans="1:5" x14ac:dyDescent="0.3">
      <c r="A1" s="1" t="s">
        <v>83</v>
      </c>
      <c r="B1" t="s">
        <v>233</v>
      </c>
    </row>
    <row r="3" spans="1:5" x14ac:dyDescent="0.3">
      <c r="A3" s="1" t="s">
        <v>235</v>
      </c>
      <c r="B3" s="1" t="s">
        <v>228</v>
      </c>
    </row>
    <row r="4" spans="1:5" x14ac:dyDescent="0.3">
      <c r="A4" s="1" t="s">
        <v>117</v>
      </c>
      <c r="B4">
        <v>2021</v>
      </c>
      <c r="C4">
        <v>2022</v>
      </c>
      <c r="D4">
        <v>2023</v>
      </c>
      <c r="E4">
        <v>2024</v>
      </c>
    </row>
    <row r="5" spans="1:5" x14ac:dyDescent="0.3">
      <c r="A5" s="2" t="s">
        <v>24</v>
      </c>
    </row>
    <row r="6" spans="1:5" x14ac:dyDescent="0.3">
      <c r="A6" s="4" t="s">
        <v>104</v>
      </c>
      <c r="B6">
        <v>7.9</v>
      </c>
      <c r="C6">
        <v>8.6</v>
      </c>
      <c r="D6">
        <v>7.5</v>
      </c>
      <c r="E6">
        <v>9</v>
      </c>
    </row>
    <row r="7" spans="1:5" x14ac:dyDescent="0.3">
      <c r="A7" s="4" t="s">
        <v>105</v>
      </c>
      <c r="B7">
        <v>50.7</v>
      </c>
      <c r="C7">
        <v>48.4</v>
      </c>
      <c r="D7">
        <v>49.4</v>
      </c>
      <c r="E7">
        <v>48</v>
      </c>
    </row>
    <row r="8" spans="1:5" x14ac:dyDescent="0.3">
      <c r="A8" s="4" t="s">
        <v>106</v>
      </c>
      <c r="B8">
        <v>13</v>
      </c>
      <c r="C8">
        <v>13.5</v>
      </c>
      <c r="D8">
        <v>13.2</v>
      </c>
      <c r="E8">
        <v>13.6</v>
      </c>
    </row>
    <row r="9" spans="1:5" x14ac:dyDescent="0.3">
      <c r="A9" s="4" t="s">
        <v>108</v>
      </c>
      <c r="B9">
        <v>5.4</v>
      </c>
      <c r="C9">
        <v>6.7</v>
      </c>
      <c r="D9">
        <v>7.9</v>
      </c>
      <c r="E9">
        <v>7.5</v>
      </c>
    </row>
    <row r="10" spans="1:5" x14ac:dyDescent="0.3">
      <c r="A10" s="4" t="s">
        <v>107</v>
      </c>
      <c r="B10">
        <v>0</v>
      </c>
      <c r="C10">
        <v>0</v>
      </c>
      <c r="D10">
        <v>0</v>
      </c>
      <c r="E10">
        <v>0.1</v>
      </c>
    </row>
    <row r="11" spans="1:5" x14ac:dyDescent="0.3">
      <c r="A11" s="4" t="s">
        <v>102</v>
      </c>
      <c r="B11">
        <v>13.8</v>
      </c>
      <c r="C11">
        <v>13.1</v>
      </c>
      <c r="D11">
        <v>11.4</v>
      </c>
      <c r="E11">
        <v>11.3</v>
      </c>
    </row>
    <row r="12" spans="1:5" x14ac:dyDescent="0.3">
      <c r="A12" s="4" t="s">
        <v>103</v>
      </c>
      <c r="B12">
        <v>9.1999999999999993</v>
      </c>
      <c r="C12">
        <v>9.6999999999999993</v>
      </c>
      <c r="D12">
        <v>10.6</v>
      </c>
      <c r="E12">
        <v>10.5</v>
      </c>
    </row>
    <row r="13" spans="1:5" x14ac:dyDescent="0.3">
      <c r="A13" s="2" t="s">
        <v>25</v>
      </c>
    </row>
    <row r="14" spans="1:5" x14ac:dyDescent="0.3">
      <c r="A14" s="4" t="s">
        <v>104</v>
      </c>
      <c r="B14">
        <v>6.6</v>
      </c>
      <c r="C14">
        <v>5.8</v>
      </c>
      <c r="D14">
        <v>5.7</v>
      </c>
      <c r="E14">
        <v>6.7</v>
      </c>
    </row>
    <row r="15" spans="1:5" x14ac:dyDescent="0.3">
      <c r="A15" s="4" t="s">
        <v>105</v>
      </c>
      <c r="B15">
        <v>41.1</v>
      </c>
      <c r="C15">
        <v>39.4</v>
      </c>
      <c r="D15">
        <v>38.4</v>
      </c>
      <c r="E15">
        <v>38</v>
      </c>
    </row>
    <row r="16" spans="1:5" x14ac:dyDescent="0.3">
      <c r="A16" s="4" t="s">
        <v>106</v>
      </c>
      <c r="B16">
        <v>25.5</v>
      </c>
      <c r="C16">
        <v>27.2</v>
      </c>
      <c r="D16">
        <v>26.7</v>
      </c>
      <c r="E16">
        <v>26.8</v>
      </c>
    </row>
    <row r="17" spans="1:7" x14ac:dyDescent="0.3">
      <c r="A17" s="4" t="s">
        <v>108</v>
      </c>
      <c r="B17">
        <v>5.6</v>
      </c>
      <c r="C17">
        <v>6.1</v>
      </c>
      <c r="D17">
        <v>8.3000000000000007</v>
      </c>
      <c r="E17">
        <v>7.5</v>
      </c>
    </row>
    <row r="18" spans="1:7" x14ac:dyDescent="0.3">
      <c r="A18" s="4" t="s">
        <v>107</v>
      </c>
      <c r="B18">
        <v>0.1</v>
      </c>
      <c r="C18">
        <v>0.2</v>
      </c>
      <c r="D18">
        <v>0.2</v>
      </c>
      <c r="E18">
        <v>0.1</v>
      </c>
    </row>
    <row r="19" spans="1:7" x14ac:dyDescent="0.3">
      <c r="A19" s="4" t="s">
        <v>102</v>
      </c>
      <c r="B19">
        <v>12.7</v>
      </c>
      <c r="C19">
        <v>12.5</v>
      </c>
      <c r="D19">
        <v>11.5</v>
      </c>
      <c r="E19">
        <v>11.4</v>
      </c>
    </row>
    <row r="20" spans="1:7" x14ac:dyDescent="0.3">
      <c r="A20" s="4" t="s">
        <v>103</v>
      </c>
      <c r="B20">
        <v>8.4</v>
      </c>
      <c r="C20">
        <v>8.8000000000000007</v>
      </c>
      <c r="D20">
        <v>9.4</v>
      </c>
      <c r="E20">
        <v>9.6</v>
      </c>
    </row>
    <row r="23" spans="1:7" x14ac:dyDescent="0.3">
      <c r="A23" s="4"/>
    </row>
    <row r="24" spans="1:7" x14ac:dyDescent="0.3">
      <c r="A24" s="2"/>
    </row>
    <row r="25" spans="1:7" x14ac:dyDescent="0.3">
      <c r="A25" s="1" t="s">
        <v>83</v>
      </c>
      <c r="B25" t="s">
        <v>234</v>
      </c>
      <c r="E25" s="1" t="s">
        <v>83</v>
      </c>
      <c r="F25" t="s">
        <v>233</v>
      </c>
    </row>
    <row r="27" spans="1:7" x14ac:dyDescent="0.3">
      <c r="A27" s="1" t="s">
        <v>235</v>
      </c>
      <c r="B27" s="1" t="s">
        <v>228</v>
      </c>
      <c r="E27" s="1" t="s">
        <v>235</v>
      </c>
      <c r="F27" s="1" t="s">
        <v>228</v>
      </c>
    </row>
    <row r="28" spans="1:7" x14ac:dyDescent="0.3">
      <c r="B28" t="s">
        <v>24</v>
      </c>
      <c r="C28" t="s">
        <v>25</v>
      </c>
      <c r="F28" t="s">
        <v>24</v>
      </c>
      <c r="G28" t="s">
        <v>25</v>
      </c>
    </row>
    <row r="29" spans="1:7" x14ac:dyDescent="0.3">
      <c r="A29" s="1" t="s">
        <v>117</v>
      </c>
      <c r="B29">
        <v>2024</v>
      </c>
      <c r="C29">
        <v>2024</v>
      </c>
      <c r="E29" s="1" t="s">
        <v>117</v>
      </c>
      <c r="F29">
        <v>2024</v>
      </c>
      <c r="G29">
        <v>2024</v>
      </c>
    </row>
    <row r="30" spans="1:7" x14ac:dyDescent="0.3">
      <c r="A30" s="2" t="s">
        <v>115</v>
      </c>
      <c r="B30">
        <v>1.9</v>
      </c>
      <c r="C30">
        <v>1.9</v>
      </c>
      <c r="E30" s="2" t="s">
        <v>104</v>
      </c>
      <c r="F30">
        <v>9</v>
      </c>
      <c r="G30">
        <v>6.7</v>
      </c>
    </row>
    <row r="31" spans="1:7" x14ac:dyDescent="0.3">
      <c r="A31" s="2" t="s">
        <v>109</v>
      </c>
      <c r="B31">
        <v>51</v>
      </c>
      <c r="C31">
        <v>53</v>
      </c>
      <c r="E31" s="2" t="s">
        <v>105</v>
      </c>
      <c r="F31">
        <v>48</v>
      </c>
      <c r="G31">
        <v>38</v>
      </c>
    </row>
    <row r="32" spans="1:7" x14ac:dyDescent="0.3">
      <c r="A32" s="2" t="s">
        <v>114</v>
      </c>
      <c r="B32">
        <v>6.7</v>
      </c>
      <c r="C32">
        <v>7.2</v>
      </c>
      <c r="E32" s="2" t="s">
        <v>106</v>
      </c>
      <c r="F32">
        <v>13.6</v>
      </c>
      <c r="G32">
        <v>26.8</v>
      </c>
    </row>
    <row r="33" spans="1:7" x14ac:dyDescent="0.3">
      <c r="A33" s="2" t="s">
        <v>116</v>
      </c>
      <c r="B33">
        <v>0.4</v>
      </c>
      <c r="C33">
        <v>0.4</v>
      </c>
      <c r="E33" s="2" t="s">
        <v>108</v>
      </c>
      <c r="F33">
        <v>7.5</v>
      </c>
      <c r="G33">
        <v>7.5</v>
      </c>
    </row>
    <row r="34" spans="1:7" x14ac:dyDescent="0.3">
      <c r="A34" s="2" t="s">
        <v>112</v>
      </c>
      <c r="B34">
        <v>17.600000000000001</v>
      </c>
      <c r="C34">
        <v>17.3</v>
      </c>
      <c r="E34" s="2" t="s">
        <v>107</v>
      </c>
      <c r="F34">
        <v>0.1</v>
      </c>
      <c r="G34">
        <v>0.1</v>
      </c>
    </row>
    <row r="35" spans="1:7" x14ac:dyDescent="0.3">
      <c r="A35" s="2" t="s">
        <v>110</v>
      </c>
      <c r="B35">
        <v>6.6</v>
      </c>
      <c r="C35">
        <v>6</v>
      </c>
      <c r="E35" s="2" t="s">
        <v>102</v>
      </c>
      <c r="F35">
        <v>11.3</v>
      </c>
      <c r="G35">
        <v>11.4</v>
      </c>
    </row>
    <row r="36" spans="1:7" x14ac:dyDescent="0.3">
      <c r="A36" s="2" t="s">
        <v>113</v>
      </c>
      <c r="B36">
        <v>13.1</v>
      </c>
      <c r="C36">
        <v>11.7</v>
      </c>
      <c r="E36" s="2" t="s">
        <v>103</v>
      </c>
      <c r="F36">
        <v>10.5</v>
      </c>
      <c r="G36">
        <v>9.6</v>
      </c>
    </row>
    <row r="37" spans="1:7" x14ac:dyDescent="0.3">
      <c r="A37" s="2" t="s">
        <v>111</v>
      </c>
      <c r="B37">
        <v>2.8</v>
      </c>
      <c r="C37">
        <v>2.5</v>
      </c>
    </row>
  </sheetData>
  <conditionalFormatting pivot="1" sqref="B5:E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{C0743182-788C-47F6-AFB8-A139F41D2CBC}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0743182-788C-47F6-AFB8-A139F41D2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B5:E20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84066B5-BDD2-4BE3-8A5A-BB86915B60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'Анализ D008'!B6:E6</xm:f>
              <xm:sqref>F6</xm:sqref>
            </x14:sparkline>
            <x14:sparkline>
              <xm:f>'Анализ D008'!B7:E7</xm:f>
              <xm:sqref>F7</xm:sqref>
            </x14:sparkline>
            <x14:sparkline>
              <xm:f>'Анализ D008'!B8:E8</xm:f>
              <xm:sqref>F8</xm:sqref>
            </x14:sparkline>
            <x14:sparkline>
              <xm:f>'Анализ D008'!B9:E9</xm:f>
              <xm:sqref>F9</xm:sqref>
            </x14:sparkline>
            <x14:sparkline>
              <xm:f>'Анализ D008'!B10:E10</xm:f>
              <xm:sqref>F10</xm:sqref>
            </x14:sparkline>
            <x14:sparkline>
              <xm:f>'Анализ D008'!B11:E11</xm:f>
              <xm:sqref>F11</xm:sqref>
            </x14:sparkline>
            <x14:sparkline>
              <xm:f>'Анализ D008'!B12:E12</xm:f>
              <xm:sqref>F12</xm:sqref>
            </x14:sparkline>
            <x14:sparkline>
              <xm:f>'Анализ D008'!B13:E13</xm:f>
              <xm:sqref>F13</xm:sqref>
            </x14:sparkline>
            <x14:sparkline>
              <xm:f>'Анализ D008'!B14:E14</xm:f>
              <xm:sqref>F14</xm:sqref>
            </x14:sparkline>
            <x14:sparkline>
              <xm:f>'Анализ D008'!B15:E15</xm:f>
              <xm:sqref>F15</xm:sqref>
            </x14:sparkline>
            <x14:sparkline>
              <xm:f>'Анализ D008'!B16:E16</xm:f>
              <xm:sqref>F16</xm:sqref>
            </x14:sparkline>
            <x14:sparkline>
              <xm:f>'Анализ D008'!B17:E17</xm:f>
              <xm:sqref>F17</xm:sqref>
            </x14:sparkline>
            <x14:sparkline>
              <xm:f>'Анализ D008'!B18:E18</xm:f>
              <xm:sqref>F18</xm:sqref>
            </x14:sparkline>
            <x14:sparkline>
              <xm:f>'Анализ D008'!B19:E19</xm:f>
              <xm:sqref>F19</xm:sqref>
            </x14:sparkline>
            <x14:sparkline>
              <xm:f>'Анализ D008'!B20:E20</xm:f>
              <xm:sqref>F20</xm:sqref>
            </x14:sparkline>
            <x14:sparkline>
              <xm:f>'Анализ D008'!B21:E21</xm:f>
              <xm:sqref>F21</xm:sqref>
            </x14:sparkline>
            <x14:sparkline>
              <xm:f>'Анализ D008'!B22:E22</xm:f>
              <xm:sqref>F22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2F3F-E4C0-4E1B-A5B0-9475507D423F}">
  <sheetPr>
    <tabColor theme="8" tint="0.39997558519241921"/>
  </sheetPr>
  <dimension ref="A1:I9"/>
  <sheetViews>
    <sheetView workbookViewId="0">
      <selection activeCell="E22" sqref="E22"/>
    </sheetView>
  </sheetViews>
  <sheetFormatPr defaultRowHeight="14.4" x14ac:dyDescent="0.3"/>
  <cols>
    <col min="1" max="1" width="6.88671875" bestFit="1" customWidth="1"/>
    <col min="2" max="2" width="8.77734375" bestFit="1" customWidth="1"/>
    <col min="3" max="3" width="16.21875" bestFit="1" customWidth="1"/>
    <col min="4" max="4" width="15.109375" bestFit="1" customWidth="1"/>
    <col min="5" max="5" width="12.5546875" bestFit="1" customWidth="1"/>
    <col min="6" max="6" width="20.33203125" bestFit="1" customWidth="1"/>
    <col min="7" max="7" width="18" bestFit="1" customWidth="1"/>
    <col min="8" max="8" width="18.77734375" bestFit="1" customWidth="1"/>
    <col min="9" max="9" width="22.5546875" bestFit="1" customWidth="1"/>
  </cols>
  <sheetData>
    <row r="1" spans="1:9" x14ac:dyDescent="0.3">
      <c r="A1" t="s">
        <v>13</v>
      </c>
      <c r="B1" t="s">
        <v>14</v>
      </c>
      <c r="C1" t="s">
        <v>15</v>
      </c>
      <c r="D1" t="s">
        <v>26</v>
      </c>
      <c r="E1" t="s">
        <v>0</v>
      </c>
      <c r="F1" t="s">
        <v>27</v>
      </c>
      <c r="G1" t="s">
        <v>28</v>
      </c>
      <c r="H1" t="s">
        <v>29</v>
      </c>
      <c r="I1" t="s">
        <v>30</v>
      </c>
    </row>
    <row r="2" spans="1:9" x14ac:dyDescent="0.3">
      <c r="A2" t="s">
        <v>3</v>
      </c>
      <c r="B2" t="s">
        <v>24</v>
      </c>
      <c r="C2" t="s">
        <v>6</v>
      </c>
      <c r="D2">
        <v>77.400000000000006</v>
      </c>
      <c r="E2">
        <v>3.3</v>
      </c>
      <c r="F2">
        <v>3.7</v>
      </c>
      <c r="G2">
        <v>60.4</v>
      </c>
      <c r="H2">
        <v>42.8</v>
      </c>
      <c r="I2">
        <v>142</v>
      </c>
    </row>
    <row r="3" spans="1:9" x14ac:dyDescent="0.3">
      <c r="A3" t="s">
        <v>3</v>
      </c>
      <c r="B3" t="s">
        <v>25</v>
      </c>
      <c r="C3" t="s">
        <v>4</v>
      </c>
      <c r="D3">
        <v>63.7</v>
      </c>
      <c r="E3">
        <v>2.6</v>
      </c>
      <c r="F3">
        <v>77</v>
      </c>
      <c r="G3">
        <v>98.1</v>
      </c>
      <c r="H3">
        <v>49</v>
      </c>
      <c r="I3">
        <v>132</v>
      </c>
    </row>
    <row r="4" spans="1:9" x14ac:dyDescent="0.3">
      <c r="A4" t="s">
        <v>9</v>
      </c>
      <c r="B4" t="s">
        <v>24</v>
      </c>
      <c r="C4" t="s">
        <v>12</v>
      </c>
      <c r="D4">
        <v>79.2</v>
      </c>
      <c r="E4">
        <v>3.3</v>
      </c>
      <c r="F4">
        <v>3.5</v>
      </c>
      <c r="G4">
        <v>63.9</v>
      </c>
      <c r="H4">
        <v>49.3</v>
      </c>
      <c r="I4">
        <v>157</v>
      </c>
    </row>
    <row r="5" spans="1:9" x14ac:dyDescent="0.3">
      <c r="A5" t="s">
        <v>9</v>
      </c>
      <c r="B5" t="s">
        <v>25</v>
      </c>
      <c r="C5" t="s">
        <v>10</v>
      </c>
      <c r="D5">
        <v>65.7</v>
      </c>
      <c r="E5">
        <v>2.6</v>
      </c>
      <c r="F5">
        <v>77.900000000000006</v>
      </c>
      <c r="G5">
        <v>97.8</v>
      </c>
      <c r="H5">
        <v>54.1</v>
      </c>
      <c r="I5">
        <v>133</v>
      </c>
    </row>
    <row r="6" spans="1:9" x14ac:dyDescent="0.3">
      <c r="A6" t="s">
        <v>7</v>
      </c>
      <c r="B6" t="s">
        <v>24</v>
      </c>
      <c r="C6" t="s">
        <v>11</v>
      </c>
      <c r="D6">
        <v>80.400000000000006</v>
      </c>
      <c r="E6">
        <v>3.3</v>
      </c>
      <c r="F6">
        <v>3.3</v>
      </c>
      <c r="G6">
        <v>61.6</v>
      </c>
      <c r="H6">
        <v>52.6</v>
      </c>
      <c r="I6">
        <v>158</v>
      </c>
    </row>
    <row r="7" spans="1:9" x14ac:dyDescent="0.3">
      <c r="A7" t="s">
        <v>7</v>
      </c>
      <c r="B7" t="s">
        <v>25</v>
      </c>
      <c r="C7" t="s">
        <v>8</v>
      </c>
      <c r="D7">
        <v>63.7</v>
      </c>
      <c r="E7">
        <v>2.6</v>
      </c>
      <c r="F7">
        <v>76.5</v>
      </c>
      <c r="G7">
        <v>98.5</v>
      </c>
      <c r="H7">
        <v>56.2</v>
      </c>
      <c r="I7">
        <v>139</v>
      </c>
    </row>
    <row r="8" spans="1:9" x14ac:dyDescent="0.3">
      <c r="A8" t="s">
        <v>1</v>
      </c>
      <c r="B8" t="s">
        <v>24</v>
      </c>
      <c r="C8" t="s">
        <v>2</v>
      </c>
      <c r="D8">
        <v>82.4</v>
      </c>
      <c r="E8">
        <v>3.4</v>
      </c>
      <c r="F8">
        <v>3.2</v>
      </c>
      <c r="G8">
        <v>63.8</v>
      </c>
      <c r="H8">
        <v>49.5</v>
      </c>
      <c r="I8">
        <v>129</v>
      </c>
    </row>
    <row r="9" spans="1:9" x14ac:dyDescent="0.3">
      <c r="A9" t="s">
        <v>1</v>
      </c>
      <c r="B9" t="s">
        <v>25</v>
      </c>
      <c r="C9" t="s">
        <v>5</v>
      </c>
      <c r="D9">
        <v>65.099999999999994</v>
      </c>
      <c r="E9">
        <v>2.6</v>
      </c>
      <c r="F9">
        <v>78.599999999999994</v>
      </c>
      <c r="G9">
        <v>98.4</v>
      </c>
      <c r="H9">
        <v>53</v>
      </c>
      <c r="I9">
        <v>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D47620-997B-4320-BBE5-A02A435B0E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full_family_expenses_final</vt:lpstr>
      <vt:lpstr>D002</vt:lpstr>
      <vt:lpstr>quality_of_life_global_report</vt:lpstr>
      <vt:lpstr>DOO2 по баллам</vt:lpstr>
      <vt:lpstr>D008</vt:lpstr>
      <vt:lpstr>Анализ D002</vt:lpstr>
      <vt:lpstr>Анализ D008</vt:lpstr>
      <vt:lpstr>housing_and_assets_official_rep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Смоляр Арина Михайловна</dc:creator>
  <cp:lastModifiedBy>Смоляр Арина Михайловна</cp:lastModifiedBy>
  <dcterms:created xsi:type="dcterms:W3CDTF">2026-09-29T06:32:38Z</dcterms:created>
  <dcterms:modified xsi:type="dcterms:W3CDTF">2026-09-30T14:43:56Z</dcterms:modified>
</cp:coreProperties>
</file>